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sho\Downloads\"/>
    </mc:Choice>
  </mc:AlternateContent>
  <xr:revisionPtr revIDLastSave="0" documentId="13_ncr:1_{846B423A-A7B0-4A64-BDAF-8F6F558A24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_Me" sheetId="1" r:id="rId1"/>
    <sheet name="Cleaned_Transactions" sheetId="2" r:id="rId2"/>
    <sheet name="Model_Ready_Country_Year" sheetId="3" r:id="rId3"/>
    <sheet name="Country_Ranking" sheetId="4" r:id="rId4"/>
    <sheet name="Data_Quality_Log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6" i="3" l="1"/>
  <c r="R46" i="3"/>
  <c r="Q46" i="3"/>
  <c r="S45" i="3"/>
  <c r="R45" i="3"/>
  <c r="Q45" i="3"/>
  <c r="S44" i="3"/>
  <c r="R44" i="3"/>
  <c r="Q44" i="3"/>
  <c r="S43" i="3"/>
  <c r="R43" i="3"/>
  <c r="Q43" i="3"/>
  <c r="S42" i="3"/>
  <c r="R42" i="3"/>
  <c r="Q42" i="3"/>
  <c r="S41" i="3"/>
  <c r="R41" i="3"/>
  <c r="Q41" i="3"/>
  <c r="S40" i="3"/>
  <c r="R40" i="3"/>
  <c r="Q40" i="3"/>
  <c r="S39" i="3"/>
  <c r="R39" i="3"/>
  <c r="Q39" i="3"/>
  <c r="S38" i="3"/>
  <c r="R38" i="3"/>
  <c r="Q38" i="3"/>
  <c r="S37" i="3"/>
  <c r="R37" i="3"/>
  <c r="Q37" i="3"/>
  <c r="S36" i="3"/>
  <c r="R36" i="3"/>
  <c r="Q36" i="3"/>
  <c r="S35" i="3"/>
  <c r="R35" i="3"/>
  <c r="Q35" i="3"/>
  <c r="S34" i="3"/>
  <c r="R34" i="3"/>
  <c r="Q34" i="3"/>
  <c r="S33" i="3"/>
  <c r="R33" i="3"/>
  <c r="Q33" i="3"/>
  <c r="S32" i="3"/>
  <c r="R32" i="3"/>
  <c r="Q32" i="3"/>
  <c r="S31" i="3"/>
  <c r="R31" i="3"/>
  <c r="Q31" i="3"/>
  <c r="S30" i="3"/>
  <c r="R30" i="3"/>
  <c r="Q30" i="3"/>
  <c r="S29" i="3"/>
  <c r="R29" i="3"/>
  <c r="Q29" i="3"/>
  <c r="S28" i="3"/>
  <c r="R28" i="3"/>
  <c r="Q28" i="3"/>
  <c r="S27" i="3"/>
  <c r="R27" i="3"/>
  <c r="Q27" i="3"/>
  <c r="S26" i="3"/>
  <c r="R26" i="3"/>
  <c r="Q26" i="3"/>
  <c r="S25" i="3"/>
  <c r="R25" i="3"/>
  <c r="Q25" i="3"/>
  <c r="S24" i="3"/>
  <c r="R24" i="3"/>
  <c r="Q24" i="3"/>
  <c r="S23" i="3"/>
  <c r="R23" i="3"/>
  <c r="Q23" i="3"/>
  <c r="S22" i="3"/>
  <c r="R22" i="3"/>
  <c r="Q22" i="3"/>
  <c r="S21" i="3"/>
  <c r="R21" i="3"/>
  <c r="Q21" i="3"/>
  <c r="S20" i="3"/>
  <c r="R20" i="3"/>
  <c r="Q20" i="3"/>
  <c r="S19" i="3"/>
  <c r="R19" i="3"/>
  <c r="Q19" i="3"/>
  <c r="S18" i="3"/>
  <c r="R18" i="3"/>
  <c r="Q18" i="3"/>
  <c r="S17" i="3"/>
  <c r="R17" i="3"/>
  <c r="Q17" i="3"/>
  <c r="S16" i="3"/>
  <c r="R16" i="3"/>
  <c r="Q16" i="3"/>
  <c r="S15" i="3"/>
  <c r="R15" i="3"/>
  <c r="Q15" i="3"/>
  <c r="S14" i="3"/>
  <c r="R14" i="3"/>
  <c r="Q14" i="3"/>
  <c r="S13" i="3"/>
  <c r="R13" i="3"/>
  <c r="Q13" i="3"/>
  <c r="S12" i="3"/>
  <c r="R12" i="3"/>
  <c r="Q12" i="3"/>
  <c r="S11" i="3"/>
  <c r="R11" i="3"/>
  <c r="Q11" i="3"/>
  <c r="S10" i="3"/>
  <c r="R10" i="3"/>
  <c r="Q10" i="3"/>
  <c r="S9" i="3"/>
  <c r="R9" i="3"/>
  <c r="Q9" i="3"/>
  <c r="S8" i="3"/>
  <c r="R8" i="3"/>
  <c r="Q8" i="3"/>
  <c r="S7" i="3"/>
  <c r="R7" i="3"/>
  <c r="Q7" i="3"/>
  <c r="S6" i="3"/>
  <c r="R6" i="3"/>
  <c r="Q6" i="3"/>
  <c r="S5" i="3"/>
  <c r="R5" i="3"/>
  <c r="Q5" i="3"/>
  <c r="S4" i="3"/>
  <c r="R4" i="3"/>
  <c r="Q4" i="3"/>
  <c r="S3" i="3"/>
  <c r="R3" i="3"/>
  <c r="Q3" i="3"/>
  <c r="S2" i="3"/>
  <c r="R2" i="3"/>
  <c r="Q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Use this sheet for country-year GDP analysis. FY2025 rows are retained for funding trends but should be excluded when modeling GDP because GDP is missing.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Ranking is based on total disbursements across FY2021-FY2025 within the 9-country sample.</t>
        </r>
      </text>
    </comment>
  </commentList>
</comments>
</file>

<file path=xl/sharedStrings.xml><?xml version="1.0" encoding="utf-8"?>
<sst xmlns="http://schemas.openxmlformats.org/spreadsheetml/2006/main" count="2532" uniqueCount="112">
  <si>
    <t>USAID SME Cleaned &amp; Prepared Dataset</t>
  </si>
  <si>
    <t>Workbook purpose</t>
  </si>
  <si>
    <t>Cleaned and prepared USAID SME funding sample for GDP analysis by highest- and lowest-funded countries within each continent sample.</t>
  </si>
  <si>
    <t>Source workbook</t>
  </si>
  <si>
    <t>Data cut down to 9 coutries and GDP.xlsx</t>
  </si>
  <si>
    <t>Primary analysis sheet</t>
  </si>
  <si>
    <t>Model_Ready_Country_Year</t>
  </si>
  <si>
    <t>Funding rank rule</t>
  </si>
  <si>
    <t>Ranking uses total Disbursements ($) across FY2021-FY2025 within each continent sample.</t>
  </si>
  <si>
    <t>Important note on GDP</t>
  </si>
  <si>
    <t>FY2025 GDP is missing for all 9 countries; those rows remain for funding analysis but should be excluded from GDP-based modeling.</t>
  </si>
  <si>
    <t>Negative values</t>
  </si>
  <si>
    <t>Retained and flagged as valid adjustments/de-obligations rather than deleted.</t>
  </si>
  <si>
    <t>US Category ID</t>
  </si>
  <si>
    <t>US Category Name</t>
  </si>
  <si>
    <t>US Sector ID</t>
  </si>
  <si>
    <t>US Sector Name</t>
  </si>
  <si>
    <t>Country Code</t>
  </si>
  <si>
    <t>Country Name</t>
  </si>
  <si>
    <t>Continent</t>
  </si>
  <si>
    <t>Funding Group</t>
  </si>
  <si>
    <t>Continent Sample Rank</t>
  </si>
  <si>
    <t>Transaction Type ID</t>
  </si>
  <si>
    <t>Transaction Type Name</t>
  </si>
  <si>
    <t>Fiscal Year</t>
  </si>
  <si>
    <t>Current Amount ($)</t>
  </si>
  <si>
    <t>Constant Amount ($)</t>
  </si>
  <si>
    <t>GDP (Current US$)</t>
  </si>
  <si>
    <t>GDP Available?</t>
  </si>
  <si>
    <t>Negative Transaction?</t>
  </si>
  <si>
    <t>Economic Development</t>
  </si>
  <si>
    <t>Economic Development - General</t>
  </si>
  <si>
    <t>BGD</t>
  </si>
  <si>
    <t>Bangladesh</t>
  </si>
  <si>
    <t>Asia</t>
  </si>
  <si>
    <t>Lowest funded in sample</t>
  </si>
  <si>
    <t>Obligations</t>
  </si>
  <si>
    <t>Yes</t>
  </si>
  <si>
    <t>JOR</t>
  </si>
  <si>
    <t>Jordan</t>
  </si>
  <si>
    <t>Highest funded in sample</t>
  </si>
  <si>
    <t>COL</t>
  </si>
  <si>
    <t>Colombia</t>
  </si>
  <si>
    <t>South America</t>
  </si>
  <si>
    <t>Disbursements</t>
  </si>
  <si>
    <t>No</t>
  </si>
  <si>
    <t>EGY</t>
  </si>
  <si>
    <t>Egypt</t>
  </si>
  <si>
    <t>Africa</t>
  </si>
  <si>
    <t>NER</t>
  </si>
  <si>
    <t>Niger</t>
  </si>
  <si>
    <t>PNG</t>
  </si>
  <si>
    <t>Papua New Guinea</t>
  </si>
  <si>
    <t>Oceania</t>
  </si>
  <si>
    <t>Only sample country</t>
  </si>
  <si>
    <t>GEO</t>
  </si>
  <si>
    <t>Georgia</t>
  </si>
  <si>
    <t>Europe</t>
  </si>
  <si>
    <t>UKR</t>
  </si>
  <si>
    <t>Ukraine</t>
  </si>
  <si>
    <t>Economic Opportunity</t>
  </si>
  <si>
    <t>Financial Sector</t>
  </si>
  <si>
    <t>CHL</t>
  </si>
  <si>
    <t>Chile</t>
  </si>
  <si>
    <t>Private Sector Competitiveness</t>
  </si>
  <si>
    <t>Appropriated and Planned</t>
  </si>
  <si>
    <t>President's Budget Requests</t>
  </si>
  <si>
    <t>Trade and Investment</t>
  </si>
  <si>
    <t>Appropriated &amp; Planned ($)</t>
  </si>
  <si>
    <t>Budget Requests ($)</t>
  </si>
  <si>
    <t>Obligations ($)</t>
  </si>
  <si>
    <t>Disbursements ($)</t>
  </si>
  <si>
    <t>Disb - Private Sector Competitiveness ($)</t>
  </si>
  <si>
    <t>Disb - Trade and Investment ($)</t>
  </si>
  <si>
    <t>Disb - Financial Sector ($)</t>
  </si>
  <si>
    <t>Disb - Econ Dev General ($)</t>
  </si>
  <si>
    <t>Disb - Economic Opportunity ($)</t>
  </si>
  <si>
    <t>GDP Growth %</t>
  </si>
  <si>
    <t>Execution Rate (Disb/Oblig)</t>
  </si>
  <si>
    <t>USAID Spending as % of GDP</t>
  </si>
  <si>
    <t>Total Disbursements ($)</t>
  </si>
  <si>
    <t>Total Obligations ($)</t>
  </si>
  <si>
    <t>Country Count in Continent Sample</t>
  </si>
  <si>
    <t>Continent Rank</t>
  </si>
  <si>
    <t>Issue Identified</t>
  </si>
  <si>
    <t>Method Used</t>
  </si>
  <si>
    <t>Justification / Result</t>
  </si>
  <si>
    <t>Affected Rows</t>
  </si>
  <si>
    <t>GDP missing for FY2025</t>
  </si>
  <si>
    <t>Kept rows, added "GDP Available?" flag, and excluded FY2025 from GDP-based modeling if needed</t>
  </si>
  <si>
    <t>World Bank GDP was not available for FY2025; preserving rows keeps funding history intact</t>
  </si>
  <si>
    <t>9 country-year rows / 34 transactions</t>
  </si>
  <si>
    <t>Different data granularity</t>
  </si>
  <si>
    <t>Created a model-ready country-year summary from transaction-level records</t>
  </si>
  <si>
    <t>GDP is a country-year outcome and should not be modeled directly at transaction level</t>
  </si>
  <si>
    <t>45 country-year rows</t>
  </si>
  <si>
    <t>Negative transaction amounts</t>
  </si>
  <si>
    <t>Retained and flagged negative values</t>
  </si>
  <si>
    <t>These likely represent de-obligations, corrections, or recoveries rather than data entry errors</t>
  </si>
  <si>
    <t>9 transactions</t>
  </si>
  <si>
    <t>Duplicate transaction records</t>
  </si>
  <si>
    <t>Checked exact duplicates before cleaning</t>
  </si>
  <si>
    <t>No exact duplicates were found in the selected 9-country sample</t>
  </si>
  <si>
    <t>0 removed</t>
  </si>
  <si>
    <t>Continent not in source file</t>
  </si>
  <si>
    <t>Added manual continent mapping for the 9 sampled countries</t>
  </si>
  <si>
    <t>Needed to support highest/lowest funded country comparisons within each continent</t>
  </si>
  <si>
    <t>5 continents</t>
  </si>
  <si>
    <t>GDP formatting inconsistency</t>
  </si>
  <si>
    <t>Coerced GDP text to numeric before merge</t>
  </si>
  <si>
    <t>One source cell included embedded commas/text formatting that would block numeric analysis</t>
  </si>
  <si>
    <t>1 source formatting issue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</si>
</sst>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"/>
    <numFmt numFmtId="165" formatCode="0.0%"/>
    <numFmt numFmtId="166" formatCode="0.000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5">
    <dxf>
      <fill>
        <patternFill>
          <bgColor rgb="FFD9D2E9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547688</xdr:colOff>
      <xdr:row>25</xdr:row>
      <xdr:rowOff>114300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9DD3F4A7-0F17-4C5F-D316-2642A14380D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619125</xdr:colOff>
      <xdr:row>25</xdr:row>
      <xdr:rowOff>114300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67C8A49D-2C2D-6249-103B-27D74FD0F8F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Transactions" displayName="CleanedTransactions" ref="A1:Q250">
  <autoFilter ref="A1:Q250" xr:uid="{00000000-0009-0000-0100-000001000000}"/>
  <tableColumns count="17">
    <tableColumn id="1" xr3:uid="{00000000-0010-0000-0000-000001000000}" name="US Category ID"/>
    <tableColumn id="2" xr3:uid="{00000000-0010-0000-0000-000002000000}" name="US Category Name"/>
    <tableColumn id="3" xr3:uid="{00000000-0010-0000-0000-000003000000}" name="US Sector ID"/>
    <tableColumn id="4" xr3:uid="{00000000-0010-0000-0000-000004000000}" name="US Sector Name"/>
    <tableColumn id="5" xr3:uid="{00000000-0010-0000-0000-000005000000}" name="Country Code"/>
    <tableColumn id="6" xr3:uid="{00000000-0010-0000-0000-000006000000}" name="Country Name"/>
    <tableColumn id="7" xr3:uid="{00000000-0010-0000-0000-000007000000}" name="Continent"/>
    <tableColumn id="8" xr3:uid="{00000000-0010-0000-0000-000008000000}" name="Funding Group"/>
    <tableColumn id="9" xr3:uid="{00000000-0010-0000-0000-000009000000}" name="Continent Sample Rank"/>
    <tableColumn id="10" xr3:uid="{00000000-0010-0000-0000-00000A000000}" name="Transaction Type ID"/>
    <tableColumn id="11" xr3:uid="{00000000-0010-0000-0000-00000B000000}" name="Transaction Type Name"/>
    <tableColumn id="12" xr3:uid="{00000000-0010-0000-0000-00000C000000}" name="Fiscal Year"/>
    <tableColumn id="13" xr3:uid="{00000000-0010-0000-0000-00000D000000}" name="Current Amount ($)"/>
    <tableColumn id="14" xr3:uid="{00000000-0010-0000-0000-00000E000000}" name="Constant Amount ($)"/>
    <tableColumn id="15" xr3:uid="{00000000-0010-0000-0000-00000F000000}" name="GDP (Current US$)"/>
    <tableColumn id="16" xr3:uid="{00000000-0010-0000-0000-000010000000}" name="GDP Available?"/>
    <tableColumn id="17" xr3:uid="{00000000-0010-0000-0000-000011000000}" name="Negative Transaction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elReadyCountryYear" displayName="ModelReadyCountryYear" ref="A1:P46">
  <autoFilter ref="A1:P46" xr:uid="{00000000-0009-0000-0100-000002000000}"/>
  <tableColumns count="16">
    <tableColumn id="1" xr3:uid="{00000000-0010-0000-0100-000001000000}" name="Continent"/>
    <tableColumn id="2" xr3:uid="{00000000-0010-0000-0100-000002000000}" name="Country Name"/>
    <tableColumn id="3" xr3:uid="{00000000-0010-0000-0100-000003000000}" name="Funding Group"/>
    <tableColumn id="4" xr3:uid="{00000000-0010-0000-0100-000004000000}" name="Continent Sample Rank"/>
    <tableColumn id="5" xr3:uid="{00000000-0010-0000-0100-000005000000}" name="Fiscal Year"/>
    <tableColumn id="6" xr3:uid="{00000000-0010-0000-0100-000006000000}" name="Appropriated &amp; Planned ($)"/>
    <tableColumn id="7" xr3:uid="{00000000-0010-0000-0100-000007000000}" name="Budget Requests ($)"/>
    <tableColumn id="8" xr3:uid="{00000000-0010-0000-0100-000008000000}" name="Obligations ($)"/>
    <tableColumn id="9" xr3:uid="{00000000-0010-0000-0100-000009000000}" name="Disbursements ($)"/>
    <tableColumn id="10" xr3:uid="{00000000-0010-0000-0100-00000A000000}" name="GDP (Current US$)"/>
    <tableColumn id="11" xr3:uid="{00000000-0010-0000-0100-00000B000000}" name="GDP Available?"/>
    <tableColumn id="12" xr3:uid="{00000000-0010-0000-0100-00000C000000}" name="Disb - Private Sector Competitiveness ($)"/>
    <tableColumn id="13" xr3:uid="{00000000-0010-0000-0100-00000D000000}" name="Disb - Trade and Investment ($)"/>
    <tableColumn id="14" xr3:uid="{00000000-0010-0000-0100-00000E000000}" name="Disb - Financial Sector ($)"/>
    <tableColumn id="15" xr3:uid="{00000000-0010-0000-0100-00000F000000}" name="Disb - Econ Dev General ($)"/>
    <tableColumn id="16" xr3:uid="{00000000-0010-0000-0100-000010000000}" name="Disb - Economic Opportunity ($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untryRanking" displayName="CountryRanking" ref="A1:G10">
  <autoFilter ref="A1:G10" xr:uid="{00000000-0009-0000-0100-000003000000}"/>
  <tableColumns count="7">
    <tableColumn id="1" xr3:uid="{00000000-0010-0000-0200-000001000000}" name="Continent"/>
    <tableColumn id="2" xr3:uid="{00000000-0010-0000-0200-000002000000}" name="Country Name"/>
    <tableColumn id="3" xr3:uid="{00000000-0010-0000-0200-000003000000}" name="Total Disbursements ($)"/>
    <tableColumn id="4" xr3:uid="{00000000-0010-0000-0200-000004000000}" name="Total Obligations ($)"/>
    <tableColumn id="5" xr3:uid="{00000000-0010-0000-0200-000005000000}" name="Country Count in Continent Sample"/>
    <tableColumn id="6" xr3:uid="{00000000-0010-0000-0200-000006000000}" name="Continent Rank"/>
    <tableColumn id="7" xr3:uid="{00000000-0010-0000-0200-000007000000}" name="Funding Grou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QualityLog" displayName="DataQualityLog" ref="A1:D7">
  <autoFilter ref="A1:D7" xr:uid="{00000000-0009-0000-0100-000004000000}"/>
  <tableColumns count="4">
    <tableColumn id="1" xr3:uid="{00000000-0010-0000-0300-000001000000}" name="Issue Identified"/>
    <tableColumn id="2" xr3:uid="{00000000-0010-0000-0300-000002000000}" name="Method Used"/>
    <tableColumn id="3" xr3:uid="{00000000-0010-0000-0300-000003000000}" name="Justification / Result"/>
    <tableColumn id="4" xr3:uid="{00000000-0010-0000-0300-000004000000}" name="Affected 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workbookViewId="0">
      <selection activeCell="B22" sqref="B22"/>
    </sheetView>
  </sheetViews>
  <sheetFormatPr defaultRowHeight="14.25" x14ac:dyDescent="0.45"/>
  <cols>
    <col min="1" max="1" width="24" customWidth="1"/>
    <col min="2" max="2" width="95" customWidth="1"/>
  </cols>
  <sheetData>
    <row r="1" spans="1:2" ht="18" x14ac:dyDescent="0.55000000000000004">
      <c r="A1" s="8" t="s">
        <v>0</v>
      </c>
      <c r="B1" s="9"/>
    </row>
    <row r="3" spans="1:2" ht="28.5" x14ac:dyDescent="0.45">
      <c r="A3" s="1" t="s">
        <v>1</v>
      </c>
      <c r="B3" s="2" t="s">
        <v>2</v>
      </c>
    </row>
    <row r="4" spans="1:2" hidden="1" x14ac:dyDescent="0.45">
      <c r="A4" s="1" t="s">
        <v>3</v>
      </c>
      <c r="B4" s="2" t="s">
        <v>4</v>
      </c>
    </row>
    <row r="5" spans="1:2" x14ac:dyDescent="0.45">
      <c r="A5" s="1" t="s">
        <v>5</v>
      </c>
      <c r="B5" s="2" t="s">
        <v>6</v>
      </c>
    </row>
    <row r="6" spans="1:2" x14ac:dyDescent="0.45">
      <c r="A6" s="1" t="s">
        <v>7</v>
      </c>
      <c r="B6" s="2" t="s">
        <v>8</v>
      </c>
    </row>
    <row r="7" spans="1:2" ht="28.5" x14ac:dyDescent="0.45">
      <c r="A7" s="1" t="s">
        <v>9</v>
      </c>
      <c r="B7" s="2" t="s">
        <v>10</v>
      </c>
    </row>
    <row r="8" spans="1:2" x14ac:dyDescent="0.45">
      <c r="A8" s="1" t="s">
        <v>11</v>
      </c>
      <c r="B8" s="2" t="s">
        <v>12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0"/>
  <sheetViews>
    <sheetView showGridLines="0" topLeftCell="A209" workbookViewId="0">
      <selection activeCell="F12" sqref="F12"/>
    </sheetView>
  </sheetViews>
  <sheetFormatPr defaultRowHeight="14.25" x14ac:dyDescent="0.45"/>
  <cols>
    <col min="1" max="1" width="16" customWidth="1"/>
    <col min="2" max="2" width="22" customWidth="1"/>
    <col min="3" max="3" width="14" customWidth="1"/>
    <col min="4" max="4" width="28" customWidth="1"/>
    <col min="5" max="5" width="14" customWidth="1"/>
    <col min="6" max="6" width="18" customWidth="1"/>
    <col min="7" max="7" width="15" customWidth="1"/>
    <col min="8" max="8" width="26" customWidth="1"/>
    <col min="9" max="9" width="23" customWidth="1"/>
    <col min="10" max="10" width="21" customWidth="1"/>
    <col min="11" max="11" width="23" customWidth="1"/>
    <col min="12" max="12" width="13" customWidth="1"/>
    <col min="13" max="13" width="20" customWidth="1"/>
    <col min="14" max="14" width="21" customWidth="1"/>
    <col min="15" max="15" width="19" customWidth="1"/>
    <col min="16" max="16" width="16" customWidth="1"/>
    <col min="17" max="17" width="23" customWidth="1"/>
  </cols>
  <sheetData>
    <row r="1" spans="1:17" ht="24" customHeight="1" x14ac:dyDescent="0.4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7" x14ac:dyDescent="0.45">
      <c r="A2" s="4">
        <v>5</v>
      </c>
      <c r="B2" t="s">
        <v>30</v>
      </c>
      <c r="C2" s="4">
        <v>49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s="4">
        <v>2</v>
      </c>
      <c r="J2" s="4">
        <v>2</v>
      </c>
      <c r="K2" t="s">
        <v>36</v>
      </c>
      <c r="L2" s="4">
        <v>2024</v>
      </c>
      <c r="M2" s="5">
        <v>-4900000</v>
      </c>
      <c r="N2" s="5">
        <v>-4900000</v>
      </c>
      <c r="O2" s="5">
        <v>450119432068.90002</v>
      </c>
      <c r="P2" t="s">
        <v>37</v>
      </c>
      <c r="Q2" t="s">
        <v>37</v>
      </c>
    </row>
    <row r="3" spans="1:17" x14ac:dyDescent="0.45">
      <c r="A3" s="4">
        <v>5</v>
      </c>
      <c r="B3" t="s">
        <v>30</v>
      </c>
      <c r="C3" s="4">
        <v>49</v>
      </c>
      <c r="D3" t="s">
        <v>31</v>
      </c>
      <c r="E3" t="s">
        <v>38</v>
      </c>
      <c r="F3" t="s">
        <v>39</v>
      </c>
      <c r="G3" t="s">
        <v>34</v>
      </c>
      <c r="H3" t="s">
        <v>40</v>
      </c>
      <c r="I3" s="4">
        <v>1</v>
      </c>
      <c r="J3" s="4">
        <v>2</v>
      </c>
      <c r="K3" t="s">
        <v>36</v>
      </c>
      <c r="L3" s="4">
        <v>2024</v>
      </c>
      <c r="M3" s="5">
        <v>-101030</v>
      </c>
      <c r="N3" s="5">
        <v>-101030</v>
      </c>
      <c r="O3" s="5">
        <v>53352289577.5</v>
      </c>
      <c r="P3" t="s">
        <v>37</v>
      </c>
      <c r="Q3" t="s">
        <v>37</v>
      </c>
    </row>
    <row r="4" spans="1:17" x14ac:dyDescent="0.45">
      <c r="A4" s="4">
        <v>5</v>
      </c>
      <c r="B4" t="s">
        <v>30</v>
      </c>
      <c r="C4" s="4">
        <v>49</v>
      </c>
      <c r="D4" t="s">
        <v>31</v>
      </c>
      <c r="E4" t="s">
        <v>41</v>
      </c>
      <c r="F4" t="s">
        <v>42</v>
      </c>
      <c r="G4" t="s">
        <v>43</v>
      </c>
      <c r="H4" t="s">
        <v>40</v>
      </c>
      <c r="I4" s="4">
        <v>1</v>
      </c>
      <c r="J4" s="4">
        <v>3</v>
      </c>
      <c r="K4" t="s">
        <v>44</v>
      </c>
      <c r="L4" s="4">
        <v>2025</v>
      </c>
      <c r="M4" s="5">
        <v>270463</v>
      </c>
      <c r="N4" s="5">
        <v>264107</v>
      </c>
      <c r="O4" s="5"/>
      <c r="P4" t="s">
        <v>45</v>
      </c>
      <c r="Q4" t="s">
        <v>45</v>
      </c>
    </row>
    <row r="5" spans="1:17" x14ac:dyDescent="0.45">
      <c r="A5" s="4">
        <v>5</v>
      </c>
      <c r="B5" t="s">
        <v>30</v>
      </c>
      <c r="C5" s="4">
        <v>49</v>
      </c>
      <c r="D5" t="s">
        <v>31</v>
      </c>
      <c r="E5" t="s">
        <v>46</v>
      </c>
      <c r="F5" t="s">
        <v>47</v>
      </c>
      <c r="G5" t="s">
        <v>48</v>
      </c>
      <c r="H5" t="s">
        <v>40</v>
      </c>
      <c r="I5" s="4">
        <v>1</v>
      </c>
      <c r="J5" s="4">
        <v>2</v>
      </c>
      <c r="K5" t="s">
        <v>36</v>
      </c>
      <c r="L5" s="4">
        <v>2023</v>
      </c>
      <c r="M5" s="5">
        <v>15000</v>
      </c>
      <c r="N5" s="5">
        <v>15367</v>
      </c>
      <c r="O5" s="5">
        <v>395926075163</v>
      </c>
      <c r="P5" t="s">
        <v>37</v>
      </c>
      <c r="Q5" t="s">
        <v>45</v>
      </c>
    </row>
    <row r="6" spans="1:17" x14ac:dyDescent="0.45">
      <c r="A6" s="4">
        <v>5</v>
      </c>
      <c r="B6" t="s">
        <v>30</v>
      </c>
      <c r="C6" s="4">
        <v>49</v>
      </c>
      <c r="D6" t="s">
        <v>31</v>
      </c>
      <c r="E6" t="s">
        <v>49</v>
      </c>
      <c r="F6" t="s">
        <v>50</v>
      </c>
      <c r="G6" t="s">
        <v>48</v>
      </c>
      <c r="H6" t="s">
        <v>35</v>
      </c>
      <c r="I6" s="4">
        <v>2</v>
      </c>
      <c r="J6" s="4">
        <v>2</v>
      </c>
      <c r="K6" t="s">
        <v>36</v>
      </c>
      <c r="L6" s="4">
        <v>2022</v>
      </c>
      <c r="M6" s="5">
        <v>15000</v>
      </c>
      <c r="N6" s="5">
        <v>16067</v>
      </c>
      <c r="O6" s="5">
        <v>15433852712.299999</v>
      </c>
      <c r="P6" t="s">
        <v>37</v>
      </c>
      <c r="Q6" t="s">
        <v>45</v>
      </c>
    </row>
    <row r="7" spans="1:17" x14ac:dyDescent="0.45">
      <c r="A7" s="4">
        <v>5</v>
      </c>
      <c r="B7" t="s">
        <v>30</v>
      </c>
      <c r="C7" s="4">
        <v>49</v>
      </c>
      <c r="D7" t="s">
        <v>31</v>
      </c>
      <c r="E7" t="s">
        <v>46</v>
      </c>
      <c r="F7" t="s">
        <v>47</v>
      </c>
      <c r="G7" t="s">
        <v>48</v>
      </c>
      <c r="H7" t="s">
        <v>40</v>
      </c>
      <c r="I7" s="4">
        <v>1</v>
      </c>
      <c r="J7" s="4">
        <v>3</v>
      </c>
      <c r="K7" t="s">
        <v>44</v>
      </c>
      <c r="L7" s="4">
        <v>2023</v>
      </c>
      <c r="M7" s="5">
        <v>7500</v>
      </c>
      <c r="N7" s="5">
        <v>7684</v>
      </c>
      <c r="O7" s="5">
        <v>395926075163</v>
      </c>
      <c r="P7" t="s">
        <v>37</v>
      </c>
      <c r="Q7" t="s">
        <v>45</v>
      </c>
    </row>
    <row r="8" spans="1:17" x14ac:dyDescent="0.45">
      <c r="A8" s="4">
        <v>5</v>
      </c>
      <c r="B8" t="s">
        <v>30</v>
      </c>
      <c r="C8" s="4">
        <v>49</v>
      </c>
      <c r="D8" t="s">
        <v>31</v>
      </c>
      <c r="E8" t="s">
        <v>49</v>
      </c>
      <c r="F8" t="s">
        <v>50</v>
      </c>
      <c r="G8" t="s">
        <v>48</v>
      </c>
      <c r="H8" t="s">
        <v>35</v>
      </c>
      <c r="I8" s="4">
        <v>2</v>
      </c>
      <c r="J8" s="4">
        <v>2</v>
      </c>
      <c r="K8" t="s">
        <v>36</v>
      </c>
      <c r="L8" s="4">
        <v>2021</v>
      </c>
      <c r="M8" s="5">
        <v>48000</v>
      </c>
      <c r="N8" s="5">
        <v>55051</v>
      </c>
      <c r="O8" s="5">
        <v>14915002436.1</v>
      </c>
      <c r="P8" t="s">
        <v>37</v>
      </c>
      <c r="Q8" t="s">
        <v>45</v>
      </c>
    </row>
    <row r="9" spans="1:17" x14ac:dyDescent="0.45">
      <c r="A9" s="4">
        <v>5</v>
      </c>
      <c r="B9" t="s">
        <v>30</v>
      </c>
      <c r="C9" s="4">
        <v>49</v>
      </c>
      <c r="D9" t="s">
        <v>31</v>
      </c>
      <c r="E9" t="s">
        <v>51</v>
      </c>
      <c r="F9" t="s">
        <v>52</v>
      </c>
      <c r="G9" t="s">
        <v>53</v>
      </c>
      <c r="H9" t="s">
        <v>54</v>
      </c>
      <c r="I9" s="4">
        <v>1</v>
      </c>
      <c r="J9" s="4">
        <v>2</v>
      </c>
      <c r="K9" t="s">
        <v>36</v>
      </c>
      <c r="L9" s="4">
        <v>2023</v>
      </c>
      <c r="M9" s="5">
        <v>75000</v>
      </c>
      <c r="N9" s="5">
        <v>76837</v>
      </c>
      <c r="O9" s="5">
        <v>30816367067</v>
      </c>
      <c r="P9" t="s">
        <v>37</v>
      </c>
      <c r="Q9" t="s">
        <v>45</v>
      </c>
    </row>
    <row r="10" spans="1:17" x14ac:dyDescent="0.45">
      <c r="A10" s="4">
        <v>5</v>
      </c>
      <c r="B10" t="s">
        <v>30</v>
      </c>
      <c r="C10" s="4">
        <v>49</v>
      </c>
      <c r="D10" t="s">
        <v>31</v>
      </c>
      <c r="E10" t="s">
        <v>49</v>
      </c>
      <c r="F10" t="s">
        <v>50</v>
      </c>
      <c r="G10" t="s">
        <v>48</v>
      </c>
      <c r="H10" t="s">
        <v>35</v>
      </c>
      <c r="I10" s="4">
        <v>2</v>
      </c>
      <c r="J10" s="4">
        <v>2</v>
      </c>
      <c r="K10" t="s">
        <v>36</v>
      </c>
      <c r="L10" s="4">
        <v>2024</v>
      </c>
      <c r="M10" s="5">
        <v>81300</v>
      </c>
      <c r="N10" s="5">
        <v>81300</v>
      </c>
      <c r="O10" s="5">
        <v>19876128485.799999</v>
      </c>
      <c r="P10" t="s">
        <v>37</v>
      </c>
      <c r="Q10" t="s">
        <v>45</v>
      </c>
    </row>
    <row r="11" spans="1:17" x14ac:dyDescent="0.45">
      <c r="A11" s="4">
        <v>5</v>
      </c>
      <c r="B11" t="s">
        <v>30</v>
      </c>
      <c r="C11" s="4">
        <v>49</v>
      </c>
      <c r="D11" t="s">
        <v>31</v>
      </c>
      <c r="E11" t="s">
        <v>38</v>
      </c>
      <c r="F11" t="s">
        <v>39</v>
      </c>
      <c r="G11" t="s">
        <v>34</v>
      </c>
      <c r="H11" t="s">
        <v>40</v>
      </c>
      <c r="I11" s="4">
        <v>1</v>
      </c>
      <c r="J11" s="4">
        <v>2</v>
      </c>
      <c r="K11" t="s">
        <v>36</v>
      </c>
      <c r="L11" s="4">
        <v>2023</v>
      </c>
      <c r="M11" s="5">
        <v>100000</v>
      </c>
      <c r="N11" s="5">
        <v>102449</v>
      </c>
      <c r="O11" s="5">
        <v>51088476388</v>
      </c>
      <c r="P11" t="s">
        <v>37</v>
      </c>
      <c r="Q11" t="s">
        <v>45</v>
      </c>
    </row>
    <row r="12" spans="1:17" x14ac:dyDescent="0.45">
      <c r="A12" s="4">
        <v>5</v>
      </c>
      <c r="B12" t="s">
        <v>30</v>
      </c>
      <c r="C12" s="4">
        <v>49</v>
      </c>
      <c r="D12" t="s">
        <v>31</v>
      </c>
      <c r="E12" t="s">
        <v>55</v>
      </c>
      <c r="F12" t="s">
        <v>56</v>
      </c>
      <c r="G12" t="s">
        <v>57</v>
      </c>
      <c r="H12" t="s">
        <v>35</v>
      </c>
      <c r="I12" s="4">
        <v>2</v>
      </c>
      <c r="J12" s="4">
        <v>2</v>
      </c>
      <c r="K12" t="s">
        <v>36</v>
      </c>
      <c r="L12" s="4">
        <v>2024</v>
      </c>
      <c r="M12" s="5">
        <v>102850</v>
      </c>
      <c r="N12" s="5">
        <v>102850</v>
      </c>
      <c r="O12" s="5">
        <v>34189423545</v>
      </c>
      <c r="P12" t="s">
        <v>37</v>
      </c>
      <c r="Q12" t="s">
        <v>45</v>
      </c>
    </row>
    <row r="13" spans="1:17" x14ac:dyDescent="0.45">
      <c r="A13" s="4">
        <v>5</v>
      </c>
      <c r="B13" t="s">
        <v>30</v>
      </c>
      <c r="C13" s="4">
        <v>49</v>
      </c>
      <c r="D13" t="s">
        <v>31</v>
      </c>
      <c r="E13" t="s">
        <v>49</v>
      </c>
      <c r="F13" t="s">
        <v>50</v>
      </c>
      <c r="G13" t="s">
        <v>48</v>
      </c>
      <c r="H13" t="s">
        <v>35</v>
      </c>
      <c r="I13" s="4">
        <v>2</v>
      </c>
      <c r="J13" s="4">
        <v>2</v>
      </c>
      <c r="K13" t="s">
        <v>36</v>
      </c>
      <c r="L13" s="4">
        <v>2023</v>
      </c>
      <c r="M13" s="5">
        <v>123148</v>
      </c>
      <c r="N13" s="5">
        <v>126161</v>
      </c>
      <c r="O13" s="5">
        <v>16698786977.6</v>
      </c>
      <c r="P13" t="s">
        <v>37</v>
      </c>
      <c r="Q13" t="s">
        <v>45</v>
      </c>
    </row>
    <row r="14" spans="1:17" x14ac:dyDescent="0.45">
      <c r="A14" s="4">
        <v>5</v>
      </c>
      <c r="B14" t="s">
        <v>30</v>
      </c>
      <c r="C14" s="4">
        <v>49</v>
      </c>
      <c r="D14" t="s">
        <v>31</v>
      </c>
      <c r="E14" t="s">
        <v>38</v>
      </c>
      <c r="F14" t="s">
        <v>39</v>
      </c>
      <c r="G14" t="s">
        <v>34</v>
      </c>
      <c r="H14" t="s">
        <v>40</v>
      </c>
      <c r="I14" s="4">
        <v>1</v>
      </c>
      <c r="J14" s="4">
        <v>2</v>
      </c>
      <c r="K14" t="s">
        <v>36</v>
      </c>
      <c r="L14" s="4">
        <v>2021</v>
      </c>
      <c r="M14" s="5">
        <v>122959</v>
      </c>
      <c r="N14" s="5">
        <v>141022</v>
      </c>
      <c r="O14" s="5">
        <v>46296100140.800003</v>
      </c>
      <c r="P14" t="s">
        <v>37</v>
      </c>
      <c r="Q14" t="s">
        <v>45</v>
      </c>
    </row>
    <row r="15" spans="1:17" x14ac:dyDescent="0.45">
      <c r="A15" s="4">
        <v>5</v>
      </c>
      <c r="B15" t="s">
        <v>30</v>
      </c>
      <c r="C15" s="4">
        <v>49</v>
      </c>
      <c r="D15" t="s">
        <v>31</v>
      </c>
      <c r="E15" t="s">
        <v>55</v>
      </c>
      <c r="F15" t="s">
        <v>56</v>
      </c>
      <c r="G15" t="s">
        <v>57</v>
      </c>
      <c r="H15" t="s">
        <v>35</v>
      </c>
      <c r="I15" s="4">
        <v>2</v>
      </c>
      <c r="J15" s="4">
        <v>3</v>
      </c>
      <c r="K15" t="s">
        <v>44</v>
      </c>
      <c r="L15" s="4">
        <v>2024</v>
      </c>
      <c r="M15" s="5">
        <v>53000</v>
      </c>
      <c r="N15" s="5">
        <v>53000</v>
      </c>
      <c r="O15" s="5">
        <v>34189423545</v>
      </c>
      <c r="P15" t="s">
        <v>37</v>
      </c>
      <c r="Q15" t="s">
        <v>45</v>
      </c>
    </row>
    <row r="16" spans="1:17" x14ac:dyDescent="0.45">
      <c r="A16" s="4">
        <v>5</v>
      </c>
      <c r="B16" t="s">
        <v>30</v>
      </c>
      <c r="C16" s="4">
        <v>49</v>
      </c>
      <c r="D16" t="s">
        <v>31</v>
      </c>
      <c r="E16" t="s">
        <v>55</v>
      </c>
      <c r="F16" t="s">
        <v>56</v>
      </c>
      <c r="G16" t="s">
        <v>57</v>
      </c>
      <c r="H16" t="s">
        <v>35</v>
      </c>
      <c r="I16" s="4">
        <v>2</v>
      </c>
      <c r="J16" s="4">
        <v>3</v>
      </c>
      <c r="K16" t="s">
        <v>44</v>
      </c>
      <c r="L16" s="4">
        <v>2025</v>
      </c>
      <c r="M16" s="5">
        <v>29850</v>
      </c>
      <c r="N16" s="5">
        <v>29148</v>
      </c>
      <c r="O16" s="5"/>
      <c r="P16" t="s">
        <v>45</v>
      </c>
      <c r="Q16" t="s">
        <v>45</v>
      </c>
    </row>
    <row r="17" spans="1:17" x14ac:dyDescent="0.45">
      <c r="A17" s="4">
        <v>5</v>
      </c>
      <c r="B17" t="s">
        <v>30</v>
      </c>
      <c r="C17" s="4">
        <v>49</v>
      </c>
      <c r="D17" t="s">
        <v>31</v>
      </c>
      <c r="E17" t="s">
        <v>38</v>
      </c>
      <c r="F17" t="s">
        <v>39</v>
      </c>
      <c r="G17" t="s">
        <v>34</v>
      </c>
      <c r="H17" t="s">
        <v>40</v>
      </c>
      <c r="I17" s="4">
        <v>1</v>
      </c>
      <c r="J17" s="4">
        <v>3</v>
      </c>
      <c r="K17" t="s">
        <v>44</v>
      </c>
      <c r="L17" s="4">
        <v>2022</v>
      </c>
      <c r="M17" s="5">
        <v>98330</v>
      </c>
      <c r="N17" s="5">
        <v>105328</v>
      </c>
      <c r="O17" s="5">
        <v>48764963380.300003</v>
      </c>
      <c r="P17" t="s">
        <v>37</v>
      </c>
      <c r="Q17" t="s">
        <v>45</v>
      </c>
    </row>
    <row r="18" spans="1:17" x14ac:dyDescent="0.45">
      <c r="A18" s="4">
        <v>5</v>
      </c>
      <c r="B18" t="s">
        <v>30</v>
      </c>
      <c r="C18" s="4">
        <v>49</v>
      </c>
      <c r="D18" t="s">
        <v>31</v>
      </c>
      <c r="E18" t="s">
        <v>38</v>
      </c>
      <c r="F18" t="s">
        <v>39</v>
      </c>
      <c r="G18" t="s">
        <v>34</v>
      </c>
      <c r="H18" t="s">
        <v>40</v>
      </c>
      <c r="I18" s="4">
        <v>1</v>
      </c>
      <c r="J18" s="4">
        <v>3</v>
      </c>
      <c r="K18" t="s">
        <v>44</v>
      </c>
      <c r="L18" s="4">
        <v>2024</v>
      </c>
      <c r="M18" s="5">
        <v>27838</v>
      </c>
      <c r="N18" s="5">
        <v>27838</v>
      </c>
      <c r="O18" s="5">
        <v>53352289577.5</v>
      </c>
      <c r="P18" t="s">
        <v>37</v>
      </c>
      <c r="Q18" t="s">
        <v>45</v>
      </c>
    </row>
    <row r="19" spans="1:17" x14ac:dyDescent="0.45">
      <c r="A19" s="4">
        <v>5</v>
      </c>
      <c r="B19" t="s">
        <v>30</v>
      </c>
      <c r="C19" s="4">
        <v>49</v>
      </c>
      <c r="D19" t="s">
        <v>31</v>
      </c>
      <c r="E19" t="s">
        <v>38</v>
      </c>
      <c r="F19" t="s">
        <v>39</v>
      </c>
      <c r="G19" t="s">
        <v>34</v>
      </c>
      <c r="H19" t="s">
        <v>40</v>
      </c>
      <c r="I19" s="4">
        <v>1</v>
      </c>
      <c r="J19" s="4">
        <v>3</v>
      </c>
      <c r="K19" t="s">
        <v>44</v>
      </c>
      <c r="L19" s="4">
        <v>2023</v>
      </c>
      <c r="M19" s="5">
        <v>11777</v>
      </c>
      <c r="N19" s="5">
        <v>12065</v>
      </c>
      <c r="O19" s="5">
        <v>51088476388</v>
      </c>
      <c r="P19" t="s">
        <v>37</v>
      </c>
      <c r="Q19" t="s">
        <v>45</v>
      </c>
    </row>
    <row r="20" spans="1:17" x14ac:dyDescent="0.45">
      <c r="A20" s="4">
        <v>5</v>
      </c>
      <c r="B20" t="s">
        <v>30</v>
      </c>
      <c r="C20" s="4">
        <v>49</v>
      </c>
      <c r="D20" t="s">
        <v>31</v>
      </c>
      <c r="E20" t="s">
        <v>49</v>
      </c>
      <c r="F20" t="s">
        <v>50</v>
      </c>
      <c r="G20" t="s">
        <v>48</v>
      </c>
      <c r="H20" t="s">
        <v>35</v>
      </c>
      <c r="I20" s="4">
        <v>2</v>
      </c>
      <c r="J20" s="4">
        <v>3</v>
      </c>
      <c r="K20" t="s">
        <v>44</v>
      </c>
      <c r="L20" s="4">
        <v>2022</v>
      </c>
      <c r="M20" s="5">
        <v>48000</v>
      </c>
      <c r="N20" s="5">
        <v>51416</v>
      </c>
      <c r="O20" s="5">
        <v>15433852712.299999</v>
      </c>
      <c r="P20" t="s">
        <v>37</v>
      </c>
      <c r="Q20" t="s">
        <v>45</v>
      </c>
    </row>
    <row r="21" spans="1:17" x14ac:dyDescent="0.45">
      <c r="A21" s="4">
        <v>5</v>
      </c>
      <c r="B21" t="s">
        <v>30</v>
      </c>
      <c r="C21" s="4">
        <v>49</v>
      </c>
      <c r="D21" t="s">
        <v>31</v>
      </c>
      <c r="E21" t="s">
        <v>49</v>
      </c>
      <c r="F21" t="s">
        <v>50</v>
      </c>
      <c r="G21" t="s">
        <v>48</v>
      </c>
      <c r="H21" t="s">
        <v>35</v>
      </c>
      <c r="I21" s="4">
        <v>2</v>
      </c>
      <c r="J21" s="4">
        <v>3</v>
      </c>
      <c r="K21" t="s">
        <v>44</v>
      </c>
      <c r="L21" s="4">
        <v>2023</v>
      </c>
      <c r="M21" s="5">
        <v>45000</v>
      </c>
      <c r="N21" s="5">
        <v>46100</v>
      </c>
      <c r="O21" s="5">
        <v>16698786977.6</v>
      </c>
      <c r="P21" t="s">
        <v>37</v>
      </c>
      <c r="Q21" t="s">
        <v>45</v>
      </c>
    </row>
    <row r="22" spans="1:17" x14ac:dyDescent="0.45">
      <c r="A22" s="4">
        <v>5</v>
      </c>
      <c r="B22" t="s">
        <v>30</v>
      </c>
      <c r="C22" s="4">
        <v>49</v>
      </c>
      <c r="D22" t="s">
        <v>31</v>
      </c>
      <c r="E22" t="s">
        <v>49</v>
      </c>
      <c r="F22" t="s">
        <v>50</v>
      </c>
      <c r="G22" t="s">
        <v>48</v>
      </c>
      <c r="H22" t="s">
        <v>35</v>
      </c>
      <c r="I22" s="4">
        <v>2</v>
      </c>
      <c r="J22" s="4">
        <v>3</v>
      </c>
      <c r="K22" t="s">
        <v>44</v>
      </c>
      <c r="L22" s="4">
        <v>2024</v>
      </c>
      <c r="M22" s="5">
        <v>45000</v>
      </c>
      <c r="N22" s="5">
        <v>45000</v>
      </c>
      <c r="O22" s="5">
        <v>19876128485.799999</v>
      </c>
      <c r="P22" t="s">
        <v>37</v>
      </c>
      <c r="Q22" t="s">
        <v>45</v>
      </c>
    </row>
    <row r="23" spans="1:17" x14ac:dyDescent="0.45">
      <c r="A23" s="4">
        <v>5</v>
      </c>
      <c r="B23" t="s">
        <v>30</v>
      </c>
      <c r="C23" s="4">
        <v>49</v>
      </c>
      <c r="D23" t="s">
        <v>31</v>
      </c>
      <c r="E23" t="s">
        <v>49</v>
      </c>
      <c r="F23" t="s">
        <v>50</v>
      </c>
      <c r="G23" t="s">
        <v>48</v>
      </c>
      <c r="H23" t="s">
        <v>35</v>
      </c>
      <c r="I23" s="4">
        <v>2</v>
      </c>
      <c r="J23" s="4">
        <v>3</v>
      </c>
      <c r="K23" t="s">
        <v>44</v>
      </c>
      <c r="L23" s="4">
        <v>2025</v>
      </c>
      <c r="M23" s="5">
        <v>35000</v>
      </c>
      <c r="N23" s="5">
        <v>34177</v>
      </c>
      <c r="O23" s="5"/>
      <c r="P23" t="s">
        <v>45</v>
      </c>
      <c r="Q23" t="s">
        <v>45</v>
      </c>
    </row>
    <row r="24" spans="1:17" x14ac:dyDescent="0.45">
      <c r="A24" s="4">
        <v>5</v>
      </c>
      <c r="B24" t="s">
        <v>30</v>
      </c>
      <c r="C24" s="4">
        <v>49</v>
      </c>
      <c r="D24" t="s">
        <v>31</v>
      </c>
      <c r="E24" t="s">
        <v>51</v>
      </c>
      <c r="F24" t="s">
        <v>52</v>
      </c>
      <c r="G24" t="s">
        <v>53</v>
      </c>
      <c r="H24" t="s">
        <v>54</v>
      </c>
      <c r="I24" s="4">
        <v>1</v>
      </c>
      <c r="J24" s="4">
        <v>2</v>
      </c>
      <c r="K24" t="s">
        <v>36</v>
      </c>
      <c r="L24" s="4">
        <v>2024</v>
      </c>
      <c r="M24" s="5">
        <v>2000000</v>
      </c>
      <c r="N24" s="5">
        <v>2000000</v>
      </c>
      <c r="O24" s="5">
        <v>31800428265.5</v>
      </c>
      <c r="P24" t="s">
        <v>37</v>
      </c>
      <c r="Q24" t="s">
        <v>45</v>
      </c>
    </row>
    <row r="25" spans="1:17" x14ac:dyDescent="0.45">
      <c r="A25" s="4">
        <v>5</v>
      </c>
      <c r="B25" t="s">
        <v>30</v>
      </c>
      <c r="C25" s="4">
        <v>49</v>
      </c>
      <c r="D25" t="s">
        <v>31</v>
      </c>
      <c r="E25" t="s">
        <v>51</v>
      </c>
      <c r="F25" t="s">
        <v>52</v>
      </c>
      <c r="G25" t="s">
        <v>53</v>
      </c>
      <c r="H25" t="s">
        <v>54</v>
      </c>
      <c r="I25" s="4">
        <v>1</v>
      </c>
      <c r="J25" s="4">
        <v>3</v>
      </c>
      <c r="K25" t="s">
        <v>44</v>
      </c>
      <c r="L25" s="4">
        <v>2025</v>
      </c>
      <c r="M25" s="5">
        <v>33526</v>
      </c>
      <c r="N25" s="5">
        <v>32738</v>
      </c>
      <c r="O25" s="5"/>
      <c r="P25" t="s">
        <v>45</v>
      </c>
      <c r="Q25" t="s">
        <v>45</v>
      </c>
    </row>
    <row r="26" spans="1:17" x14ac:dyDescent="0.45">
      <c r="A26" s="4">
        <v>5</v>
      </c>
      <c r="B26" t="s">
        <v>30</v>
      </c>
      <c r="C26" s="4">
        <v>49</v>
      </c>
      <c r="D26" t="s">
        <v>31</v>
      </c>
      <c r="E26" t="s">
        <v>51</v>
      </c>
      <c r="F26" t="s">
        <v>52</v>
      </c>
      <c r="G26" t="s">
        <v>53</v>
      </c>
      <c r="H26" t="s">
        <v>54</v>
      </c>
      <c r="I26" s="4">
        <v>1</v>
      </c>
      <c r="J26" s="4">
        <v>3</v>
      </c>
      <c r="K26" t="s">
        <v>44</v>
      </c>
      <c r="L26" s="4">
        <v>2024</v>
      </c>
      <c r="M26" s="5">
        <v>10000</v>
      </c>
      <c r="N26" s="5">
        <v>10000</v>
      </c>
      <c r="O26" s="5">
        <v>31800428265.5</v>
      </c>
      <c r="P26" t="s">
        <v>37</v>
      </c>
      <c r="Q26" t="s">
        <v>45</v>
      </c>
    </row>
    <row r="27" spans="1:17" x14ac:dyDescent="0.45">
      <c r="A27" s="4">
        <v>5</v>
      </c>
      <c r="B27" t="s">
        <v>30</v>
      </c>
      <c r="C27" s="4">
        <v>49</v>
      </c>
      <c r="D27" t="s">
        <v>31</v>
      </c>
      <c r="E27" t="s">
        <v>58</v>
      </c>
      <c r="F27" t="s">
        <v>59</v>
      </c>
      <c r="G27" t="s">
        <v>57</v>
      </c>
      <c r="H27" t="s">
        <v>40</v>
      </c>
      <c r="I27" s="4">
        <v>1</v>
      </c>
      <c r="J27" s="4">
        <v>3</v>
      </c>
      <c r="K27" t="s">
        <v>44</v>
      </c>
      <c r="L27" s="4">
        <v>2023</v>
      </c>
      <c r="M27" s="5">
        <v>922857</v>
      </c>
      <c r="N27" s="5">
        <v>945458</v>
      </c>
      <c r="O27" s="5">
        <v>181221517868.70001</v>
      </c>
      <c r="P27" t="s">
        <v>37</v>
      </c>
      <c r="Q27" t="s">
        <v>45</v>
      </c>
    </row>
    <row r="28" spans="1:17" x14ac:dyDescent="0.45">
      <c r="A28" s="4">
        <v>5</v>
      </c>
      <c r="B28" t="s">
        <v>30</v>
      </c>
      <c r="C28" s="4">
        <v>49</v>
      </c>
      <c r="D28" t="s">
        <v>31</v>
      </c>
      <c r="E28" t="s">
        <v>58</v>
      </c>
      <c r="F28" t="s">
        <v>59</v>
      </c>
      <c r="G28" t="s">
        <v>57</v>
      </c>
      <c r="H28" t="s">
        <v>40</v>
      </c>
      <c r="I28" s="4">
        <v>1</v>
      </c>
      <c r="J28" s="4">
        <v>3</v>
      </c>
      <c r="K28" t="s">
        <v>44</v>
      </c>
      <c r="L28" s="4">
        <v>2024</v>
      </c>
      <c r="M28" s="5">
        <v>436267</v>
      </c>
      <c r="N28" s="5">
        <v>436267</v>
      </c>
      <c r="O28" s="5">
        <v>190741262414.70001</v>
      </c>
      <c r="P28" t="s">
        <v>37</v>
      </c>
      <c r="Q28" t="s">
        <v>45</v>
      </c>
    </row>
    <row r="29" spans="1:17" x14ac:dyDescent="0.45">
      <c r="A29" s="4">
        <v>5</v>
      </c>
      <c r="B29" t="s">
        <v>30</v>
      </c>
      <c r="C29" s="4">
        <v>49</v>
      </c>
      <c r="D29" t="s">
        <v>31</v>
      </c>
      <c r="E29" t="s">
        <v>58</v>
      </c>
      <c r="F29" t="s">
        <v>59</v>
      </c>
      <c r="G29" t="s">
        <v>57</v>
      </c>
      <c r="H29" t="s">
        <v>40</v>
      </c>
      <c r="I29" s="4">
        <v>1</v>
      </c>
      <c r="J29" s="4">
        <v>3</v>
      </c>
      <c r="K29" t="s">
        <v>44</v>
      </c>
      <c r="L29" s="4">
        <v>2025</v>
      </c>
      <c r="M29" s="5">
        <v>256417</v>
      </c>
      <c r="N29" s="5">
        <v>250391</v>
      </c>
      <c r="O29" s="5"/>
      <c r="P29" t="s">
        <v>45</v>
      </c>
      <c r="Q29" t="s">
        <v>45</v>
      </c>
    </row>
    <row r="30" spans="1:17" x14ac:dyDescent="0.45">
      <c r="A30" s="4">
        <v>5</v>
      </c>
      <c r="B30" t="s">
        <v>30</v>
      </c>
      <c r="C30" s="4">
        <v>31</v>
      </c>
      <c r="D30" t="s">
        <v>60</v>
      </c>
      <c r="E30" t="s">
        <v>32</v>
      </c>
      <c r="F30" t="s">
        <v>33</v>
      </c>
      <c r="G30" t="s">
        <v>34</v>
      </c>
      <c r="H30" t="s">
        <v>35</v>
      </c>
      <c r="I30" s="4">
        <v>2</v>
      </c>
      <c r="J30" s="4">
        <v>3</v>
      </c>
      <c r="K30" t="s">
        <v>44</v>
      </c>
      <c r="L30" s="4">
        <v>2024</v>
      </c>
      <c r="M30" s="5">
        <v>147631</v>
      </c>
      <c r="N30" s="5">
        <v>147631</v>
      </c>
      <c r="O30" s="5">
        <v>450119432068.90002</v>
      </c>
      <c r="P30" t="s">
        <v>37</v>
      </c>
      <c r="Q30" t="s">
        <v>45</v>
      </c>
    </row>
    <row r="31" spans="1:17" x14ac:dyDescent="0.45">
      <c r="A31" s="4">
        <v>5</v>
      </c>
      <c r="B31" t="s">
        <v>30</v>
      </c>
      <c r="C31" s="4">
        <v>31</v>
      </c>
      <c r="D31" t="s">
        <v>60</v>
      </c>
      <c r="E31" t="s">
        <v>32</v>
      </c>
      <c r="F31" t="s">
        <v>33</v>
      </c>
      <c r="G31" t="s">
        <v>34</v>
      </c>
      <c r="H31" t="s">
        <v>35</v>
      </c>
      <c r="I31" s="4">
        <v>2</v>
      </c>
      <c r="J31" s="4">
        <v>3</v>
      </c>
      <c r="K31" t="s">
        <v>44</v>
      </c>
      <c r="L31" s="4">
        <v>2023</v>
      </c>
      <c r="M31" s="5">
        <v>107899</v>
      </c>
      <c r="N31" s="5">
        <v>110542</v>
      </c>
      <c r="O31" s="5">
        <v>437415333018.29999</v>
      </c>
      <c r="P31" t="s">
        <v>37</v>
      </c>
      <c r="Q31" t="s">
        <v>45</v>
      </c>
    </row>
    <row r="32" spans="1:17" x14ac:dyDescent="0.45">
      <c r="A32" s="4">
        <v>5</v>
      </c>
      <c r="B32" t="s">
        <v>30</v>
      </c>
      <c r="C32" s="4">
        <v>31</v>
      </c>
      <c r="D32" t="s">
        <v>60</v>
      </c>
      <c r="E32" t="s">
        <v>41</v>
      </c>
      <c r="F32" t="s">
        <v>42</v>
      </c>
      <c r="G32" t="s">
        <v>43</v>
      </c>
      <c r="H32" t="s">
        <v>40</v>
      </c>
      <c r="I32" s="4">
        <v>1</v>
      </c>
      <c r="J32" s="4">
        <v>3</v>
      </c>
      <c r="K32" t="s">
        <v>44</v>
      </c>
      <c r="L32" s="4">
        <v>2021</v>
      </c>
      <c r="M32" s="5">
        <v>18610</v>
      </c>
      <c r="N32" s="5">
        <v>21344</v>
      </c>
      <c r="O32" s="5">
        <v>318524633225.40002</v>
      </c>
      <c r="P32" t="s">
        <v>37</v>
      </c>
      <c r="Q32" t="s">
        <v>45</v>
      </c>
    </row>
    <row r="33" spans="1:17" x14ac:dyDescent="0.45">
      <c r="A33" s="4">
        <v>5</v>
      </c>
      <c r="B33" t="s">
        <v>30</v>
      </c>
      <c r="C33" s="4">
        <v>31</v>
      </c>
      <c r="D33" t="s">
        <v>60</v>
      </c>
      <c r="E33" t="s">
        <v>49</v>
      </c>
      <c r="F33" t="s">
        <v>50</v>
      </c>
      <c r="G33" t="s">
        <v>48</v>
      </c>
      <c r="H33" t="s">
        <v>35</v>
      </c>
      <c r="I33" s="4">
        <v>2</v>
      </c>
      <c r="J33" s="4">
        <v>2</v>
      </c>
      <c r="K33" t="s">
        <v>36</v>
      </c>
      <c r="L33" s="4">
        <v>2024</v>
      </c>
      <c r="M33" s="5">
        <v>41000</v>
      </c>
      <c r="N33" s="5">
        <v>41000</v>
      </c>
      <c r="O33" s="5">
        <v>19876128485.799999</v>
      </c>
      <c r="P33" t="s">
        <v>37</v>
      </c>
      <c r="Q33" t="s">
        <v>45</v>
      </c>
    </row>
    <row r="34" spans="1:17" x14ac:dyDescent="0.45">
      <c r="A34" s="4">
        <v>5</v>
      </c>
      <c r="B34" t="s">
        <v>30</v>
      </c>
      <c r="C34" s="4">
        <v>31</v>
      </c>
      <c r="D34" t="s">
        <v>60</v>
      </c>
      <c r="E34" t="s">
        <v>38</v>
      </c>
      <c r="F34" t="s">
        <v>39</v>
      </c>
      <c r="G34" t="s">
        <v>34</v>
      </c>
      <c r="H34" t="s">
        <v>40</v>
      </c>
      <c r="I34" s="4">
        <v>1</v>
      </c>
      <c r="J34" s="4">
        <v>2</v>
      </c>
      <c r="K34" t="s">
        <v>36</v>
      </c>
      <c r="L34" s="4">
        <v>2023</v>
      </c>
      <c r="M34" s="5">
        <v>199999</v>
      </c>
      <c r="N34" s="5">
        <v>204897</v>
      </c>
      <c r="O34" s="5">
        <v>51088476388</v>
      </c>
      <c r="P34" t="s">
        <v>37</v>
      </c>
      <c r="Q34" t="s">
        <v>45</v>
      </c>
    </row>
    <row r="35" spans="1:17" x14ac:dyDescent="0.45">
      <c r="A35" s="4">
        <v>5</v>
      </c>
      <c r="B35" t="s">
        <v>30</v>
      </c>
      <c r="C35" s="4">
        <v>31</v>
      </c>
      <c r="D35" t="s">
        <v>60</v>
      </c>
      <c r="E35" t="s">
        <v>38</v>
      </c>
      <c r="F35" t="s">
        <v>39</v>
      </c>
      <c r="G35" t="s">
        <v>34</v>
      </c>
      <c r="H35" t="s">
        <v>40</v>
      </c>
      <c r="I35" s="4">
        <v>1</v>
      </c>
      <c r="J35" s="4">
        <v>3</v>
      </c>
      <c r="K35" t="s">
        <v>44</v>
      </c>
      <c r="L35" s="4">
        <v>2024</v>
      </c>
      <c r="M35" s="5">
        <v>136641</v>
      </c>
      <c r="N35" s="5">
        <v>136641</v>
      </c>
      <c r="O35" s="5">
        <v>53352289577.5</v>
      </c>
      <c r="P35" t="s">
        <v>37</v>
      </c>
      <c r="Q35" t="s">
        <v>45</v>
      </c>
    </row>
    <row r="36" spans="1:17" x14ac:dyDescent="0.45">
      <c r="A36" s="4">
        <v>5</v>
      </c>
      <c r="B36" t="s">
        <v>30</v>
      </c>
      <c r="C36" s="4">
        <v>31</v>
      </c>
      <c r="D36" t="s">
        <v>60</v>
      </c>
      <c r="E36" t="s">
        <v>38</v>
      </c>
      <c r="F36" t="s">
        <v>39</v>
      </c>
      <c r="G36" t="s">
        <v>34</v>
      </c>
      <c r="H36" t="s">
        <v>40</v>
      </c>
      <c r="I36" s="4">
        <v>1</v>
      </c>
      <c r="J36" s="4">
        <v>3</v>
      </c>
      <c r="K36" t="s">
        <v>44</v>
      </c>
      <c r="L36" s="4">
        <v>2025</v>
      </c>
      <c r="M36" s="5">
        <v>63358</v>
      </c>
      <c r="N36" s="5">
        <v>61869</v>
      </c>
      <c r="O36" s="5"/>
      <c r="P36" t="s">
        <v>45</v>
      </c>
      <c r="Q36" t="s">
        <v>45</v>
      </c>
    </row>
    <row r="37" spans="1:17" x14ac:dyDescent="0.45">
      <c r="A37" s="4">
        <v>5</v>
      </c>
      <c r="B37" t="s">
        <v>30</v>
      </c>
      <c r="C37" s="4">
        <v>31</v>
      </c>
      <c r="D37" t="s">
        <v>60</v>
      </c>
      <c r="E37" t="s">
        <v>32</v>
      </c>
      <c r="F37" t="s">
        <v>33</v>
      </c>
      <c r="G37" t="s">
        <v>34</v>
      </c>
      <c r="H37" t="s">
        <v>35</v>
      </c>
      <c r="I37" s="4">
        <v>2</v>
      </c>
      <c r="J37" s="4">
        <v>2</v>
      </c>
      <c r="K37" t="s">
        <v>36</v>
      </c>
      <c r="L37" s="4">
        <v>2022</v>
      </c>
      <c r="M37" s="5">
        <v>500000</v>
      </c>
      <c r="N37" s="5">
        <v>535586</v>
      </c>
      <c r="O37" s="5">
        <v>462131689083.09998</v>
      </c>
      <c r="P37" t="s">
        <v>37</v>
      </c>
      <c r="Q37" t="s">
        <v>45</v>
      </c>
    </row>
    <row r="38" spans="1:17" x14ac:dyDescent="0.45">
      <c r="A38" s="4">
        <v>5</v>
      </c>
      <c r="B38" t="s">
        <v>30</v>
      </c>
      <c r="C38" s="4">
        <v>31</v>
      </c>
      <c r="D38" t="s">
        <v>60</v>
      </c>
      <c r="E38" t="s">
        <v>49</v>
      </c>
      <c r="F38" t="s">
        <v>50</v>
      </c>
      <c r="G38" t="s">
        <v>48</v>
      </c>
      <c r="H38" t="s">
        <v>35</v>
      </c>
      <c r="I38" s="4">
        <v>2</v>
      </c>
      <c r="J38" s="4">
        <v>3</v>
      </c>
      <c r="K38" t="s">
        <v>44</v>
      </c>
      <c r="L38" s="4">
        <v>2025</v>
      </c>
      <c r="M38" s="5">
        <v>32000</v>
      </c>
      <c r="N38" s="5">
        <v>31246</v>
      </c>
      <c r="O38" s="5"/>
      <c r="P38" t="s">
        <v>45</v>
      </c>
      <c r="Q38" t="s">
        <v>45</v>
      </c>
    </row>
    <row r="39" spans="1:17" x14ac:dyDescent="0.45">
      <c r="A39" s="4">
        <v>5</v>
      </c>
      <c r="B39" t="s">
        <v>30</v>
      </c>
      <c r="C39" s="4">
        <v>27</v>
      </c>
      <c r="D39" t="s">
        <v>61</v>
      </c>
      <c r="E39" t="s">
        <v>58</v>
      </c>
      <c r="F39" t="s">
        <v>59</v>
      </c>
      <c r="G39" t="s">
        <v>57</v>
      </c>
      <c r="H39" t="s">
        <v>40</v>
      </c>
      <c r="I39" s="4">
        <v>1</v>
      </c>
      <c r="J39" s="4">
        <v>2</v>
      </c>
      <c r="K39" t="s">
        <v>36</v>
      </c>
      <c r="L39" s="4">
        <v>2021</v>
      </c>
      <c r="M39" s="5">
        <v>-270210</v>
      </c>
      <c r="N39" s="5">
        <v>-309906</v>
      </c>
      <c r="O39" s="5">
        <v>199765859570.89999</v>
      </c>
      <c r="P39" t="s">
        <v>37</v>
      </c>
      <c r="Q39" t="s">
        <v>37</v>
      </c>
    </row>
    <row r="40" spans="1:17" x14ac:dyDescent="0.45">
      <c r="A40" s="4">
        <v>5</v>
      </c>
      <c r="B40" t="s">
        <v>30</v>
      </c>
      <c r="C40" s="4">
        <v>27</v>
      </c>
      <c r="D40" t="s">
        <v>61</v>
      </c>
      <c r="E40" t="s">
        <v>55</v>
      </c>
      <c r="F40" t="s">
        <v>56</v>
      </c>
      <c r="G40" t="s">
        <v>57</v>
      </c>
      <c r="H40" t="s">
        <v>35</v>
      </c>
      <c r="I40" s="4">
        <v>2</v>
      </c>
      <c r="J40" s="4">
        <v>2</v>
      </c>
      <c r="K40" t="s">
        <v>36</v>
      </c>
      <c r="L40" s="4">
        <v>2024</v>
      </c>
      <c r="M40" s="5">
        <v>-88238</v>
      </c>
      <c r="N40" s="5">
        <v>-88238</v>
      </c>
      <c r="O40" s="5">
        <v>34189423545</v>
      </c>
      <c r="P40" t="s">
        <v>37</v>
      </c>
      <c r="Q40" t="s">
        <v>37</v>
      </c>
    </row>
    <row r="41" spans="1:17" x14ac:dyDescent="0.45">
      <c r="A41" s="4">
        <v>5</v>
      </c>
      <c r="B41" t="s">
        <v>30</v>
      </c>
      <c r="C41" s="4">
        <v>27</v>
      </c>
      <c r="D41" t="s">
        <v>61</v>
      </c>
      <c r="E41" t="s">
        <v>32</v>
      </c>
      <c r="F41" t="s">
        <v>33</v>
      </c>
      <c r="G41" t="s">
        <v>34</v>
      </c>
      <c r="H41" t="s">
        <v>35</v>
      </c>
      <c r="I41" s="4">
        <v>2</v>
      </c>
      <c r="J41" s="4">
        <v>3</v>
      </c>
      <c r="K41" t="s">
        <v>44</v>
      </c>
      <c r="L41" s="4">
        <v>2025</v>
      </c>
      <c r="M41" s="5">
        <v>57674</v>
      </c>
      <c r="N41" s="5">
        <v>56319</v>
      </c>
      <c r="O41" s="5"/>
      <c r="P41" t="s">
        <v>45</v>
      </c>
      <c r="Q41" t="s">
        <v>45</v>
      </c>
    </row>
    <row r="42" spans="1:17" x14ac:dyDescent="0.45">
      <c r="A42" s="4">
        <v>5</v>
      </c>
      <c r="B42" t="s">
        <v>30</v>
      </c>
      <c r="C42" s="4">
        <v>27</v>
      </c>
      <c r="D42" t="s">
        <v>61</v>
      </c>
      <c r="E42" t="s">
        <v>62</v>
      </c>
      <c r="F42" t="s">
        <v>63</v>
      </c>
      <c r="G42" t="s">
        <v>43</v>
      </c>
      <c r="H42" t="s">
        <v>35</v>
      </c>
      <c r="I42" s="4">
        <v>2</v>
      </c>
      <c r="J42" s="4">
        <v>3</v>
      </c>
      <c r="K42" t="s">
        <v>44</v>
      </c>
      <c r="L42" s="4">
        <v>2023</v>
      </c>
      <c r="M42" s="5">
        <v>194037</v>
      </c>
      <c r="N42" s="5">
        <v>198791</v>
      </c>
      <c r="O42" s="5">
        <v>335518054097.59998</v>
      </c>
      <c r="P42" t="s">
        <v>37</v>
      </c>
      <c r="Q42" t="s">
        <v>45</v>
      </c>
    </row>
    <row r="43" spans="1:17" x14ac:dyDescent="0.45">
      <c r="A43" s="4">
        <v>5</v>
      </c>
      <c r="B43" t="s">
        <v>30</v>
      </c>
      <c r="C43" s="4">
        <v>27</v>
      </c>
      <c r="D43" t="s">
        <v>61</v>
      </c>
      <c r="E43" t="s">
        <v>62</v>
      </c>
      <c r="F43" t="s">
        <v>63</v>
      </c>
      <c r="G43" t="s">
        <v>43</v>
      </c>
      <c r="H43" t="s">
        <v>35</v>
      </c>
      <c r="I43" s="4">
        <v>2</v>
      </c>
      <c r="J43" s="4">
        <v>3</v>
      </c>
      <c r="K43" t="s">
        <v>44</v>
      </c>
      <c r="L43" s="4">
        <v>2021</v>
      </c>
      <c r="M43" s="5">
        <v>88908</v>
      </c>
      <c r="N43" s="5">
        <v>101970</v>
      </c>
      <c r="O43" s="5">
        <v>315325547162.09998</v>
      </c>
      <c r="P43" t="s">
        <v>37</v>
      </c>
      <c r="Q43" t="s">
        <v>45</v>
      </c>
    </row>
    <row r="44" spans="1:17" x14ac:dyDescent="0.45">
      <c r="A44" s="4">
        <v>5</v>
      </c>
      <c r="B44" t="s">
        <v>30</v>
      </c>
      <c r="C44" s="4">
        <v>27</v>
      </c>
      <c r="D44" t="s">
        <v>61</v>
      </c>
      <c r="E44" t="s">
        <v>58</v>
      </c>
      <c r="F44" t="s">
        <v>59</v>
      </c>
      <c r="G44" t="s">
        <v>57</v>
      </c>
      <c r="H44" t="s">
        <v>40</v>
      </c>
      <c r="I44" s="4">
        <v>1</v>
      </c>
      <c r="J44" s="4">
        <v>2</v>
      </c>
      <c r="K44" t="s">
        <v>36</v>
      </c>
      <c r="L44" s="4">
        <v>2025</v>
      </c>
      <c r="M44" s="5">
        <v>415</v>
      </c>
      <c r="N44" s="5">
        <v>405</v>
      </c>
      <c r="O44" s="5"/>
      <c r="P44" t="s">
        <v>45</v>
      </c>
      <c r="Q44" t="s">
        <v>45</v>
      </c>
    </row>
    <row r="45" spans="1:17" x14ac:dyDescent="0.45">
      <c r="A45" s="4">
        <v>5</v>
      </c>
      <c r="B45" t="s">
        <v>30</v>
      </c>
      <c r="C45" s="4">
        <v>27</v>
      </c>
      <c r="D45" t="s">
        <v>61</v>
      </c>
      <c r="E45" t="s">
        <v>62</v>
      </c>
      <c r="F45" t="s">
        <v>63</v>
      </c>
      <c r="G45" t="s">
        <v>43</v>
      </c>
      <c r="H45" t="s">
        <v>35</v>
      </c>
      <c r="I45" s="4">
        <v>2</v>
      </c>
      <c r="J45" s="4">
        <v>3</v>
      </c>
      <c r="K45" t="s">
        <v>44</v>
      </c>
      <c r="L45" s="4">
        <v>2022</v>
      </c>
      <c r="M45" s="5">
        <v>87275</v>
      </c>
      <c r="N45" s="5">
        <v>93486</v>
      </c>
      <c r="O45" s="5">
        <v>301226575540.20001</v>
      </c>
      <c r="P45" t="s">
        <v>37</v>
      </c>
      <c r="Q45" t="s">
        <v>45</v>
      </c>
    </row>
    <row r="46" spans="1:17" x14ac:dyDescent="0.45">
      <c r="A46" s="4">
        <v>5</v>
      </c>
      <c r="B46" t="s">
        <v>30</v>
      </c>
      <c r="C46" s="4">
        <v>27</v>
      </c>
      <c r="D46" t="s">
        <v>61</v>
      </c>
      <c r="E46" t="s">
        <v>62</v>
      </c>
      <c r="F46" t="s">
        <v>63</v>
      </c>
      <c r="G46" t="s">
        <v>43</v>
      </c>
      <c r="H46" t="s">
        <v>35</v>
      </c>
      <c r="I46" s="4">
        <v>2</v>
      </c>
      <c r="J46" s="4">
        <v>3</v>
      </c>
      <c r="K46" t="s">
        <v>44</v>
      </c>
      <c r="L46" s="4">
        <v>2024</v>
      </c>
      <c r="M46" s="5">
        <v>82234</v>
      </c>
      <c r="N46" s="5">
        <v>82234</v>
      </c>
      <c r="O46" s="5">
        <v>330267137137.59998</v>
      </c>
      <c r="P46" t="s">
        <v>37</v>
      </c>
      <c r="Q46" t="s">
        <v>45</v>
      </c>
    </row>
    <row r="47" spans="1:17" x14ac:dyDescent="0.45">
      <c r="A47" s="4">
        <v>5</v>
      </c>
      <c r="B47" t="s">
        <v>30</v>
      </c>
      <c r="C47" s="4">
        <v>27</v>
      </c>
      <c r="D47" t="s">
        <v>61</v>
      </c>
      <c r="E47" t="s">
        <v>62</v>
      </c>
      <c r="F47" t="s">
        <v>63</v>
      </c>
      <c r="G47" t="s">
        <v>43</v>
      </c>
      <c r="H47" t="s">
        <v>35</v>
      </c>
      <c r="I47" s="4">
        <v>2</v>
      </c>
      <c r="J47" s="4">
        <v>3</v>
      </c>
      <c r="K47" t="s">
        <v>44</v>
      </c>
      <c r="L47" s="4">
        <v>2025</v>
      </c>
      <c r="M47" s="5">
        <v>4141</v>
      </c>
      <c r="N47" s="5">
        <v>4044</v>
      </c>
      <c r="O47" s="5"/>
      <c r="P47" t="s">
        <v>45</v>
      </c>
      <c r="Q47" t="s">
        <v>45</v>
      </c>
    </row>
    <row r="48" spans="1:17" x14ac:dyDescent="0.45">
      <c r="A48" s="4">
        <v>5</v>
      </c>
      <c r="B48" t="s">
        <v>30</v>
      </c>
      <c r="C48" s="4">
        <v>27</v>
      </c>
      <c r="D48" t="s">
        <v>61</v>
      </c>
      <c r="E48" t="s">
        <v>46</v>
      </c>
      <c r="F48" t="s">
        <v>47</v>
      </c>
      <c r="G48" t="s">
        <v>48</v>
      </c>
      <c r="H48" t="s">
        <v>40</v>
      </c>
      <c r="I48" s="4">
        <v>1</v>
      </c>
      <c r="J48" s="4">
        <v>3</v>
      </c>
      <c r="K48" t="s">
        <v>44</v>
      </c>
      <c r="L48" s="4">
        <v>2021</v>
      </c>
      <c r="M48" s="5">
        <v>76959589</v>
      </c>
      <c r="N48" s="5">
        <v>88265346</v>
      </c>
      <c r="O48" s="5">
        <v>424671765455.70001</v>
      </c>
      <c r="P48" t="s">
        <v>37</v>
      </c>
      <c r="Q48" t="s">
        <v>45</v>
      </c>
    </row>
    <row r="49" spans="1:17" x14ac:dyDescent="0.45">
      <c r="A49" s="4">
        <v>5</v>
      </c>
      <c r="B49" t="s">
        <v>30</v>
      </c>
      <c r="C49" s="4">
        <v>27</v>
      </c>
      <c r="D49" t="s">
        <v>61</v>
      </c>
      <c r="E49" t="s">
        <v>46</v>
      </c>
      <c r="F49" t="s">
        <v>47</v>
      </c>
      <c r="G49" t="s">
        <v>48</v>
      </c>
      <c r="H49" t="s">
        <v>40</v>
      </c>
      <c r="I49" s="4">
        <v>1</v>
      </c>
      <c r="J49" s="4">
        <v>3</v>
      </c>
      <c r="K49" t="s">
        <v>44</v>
      </c>
      <c r="L49" s="4">
        <v>2022</v>
      </c>
      <c r="M49" s="5">
        <v>8801112</v>
      </c>
      <c r="N49" s="5">
        <v>9427500</v>
      </c>
      <c r="O49" s="5">
        <v>476747720364.70001</v>
      </c>
      <c r="P49" t="s">
        <v>37</v>
      </c>
      <c r="Q49" t="s">
        <v>45</v>
      </c>
    </row>
    <row r="50" spans="1:17" x14ac:dyDescent="0.45">
      <c r="A50" s="4">
        <v>5</v>
      </c>
      <c r="B50" t="s">
        <v>30</v>
      </c>
      <c r="C50" s="4">
        <v>27</v>
      </c>
      <c r="D50" t="s">
        <v>61</v>
      </c>
      <c r="E50" t="s">
        <v>46</v>
      </c>
      <c r="F50" t="s">
        <v>47</v>
      </c>
      <c r="G50" t="s">
        <v>48</v>
      </c>
      <c r="H50" t="s">
        <v>40</v>
      </c>
      <c r="I50" s="4">
        <v>1</v>
      </c>
      <c r="J50" s="4">
        <v>3</v>
      </c>
      <c r="K50" t="s">
        <v>44</v>
      </c>
      <c r="L50" s="4">
        <v>2023</v>
      </c>
      <c r="M50" s="5">
        <v>2767319</v>
      </c>
      <c r="N50" s="5">
        <v>2835096</v>
      </c>
      <c r="O50" s="5">
        <v>395926075163</v>
      </c>
      <c r="P50" t="s">
        <v>37</v>
      </c>
      <c r="Q50" t="s">
        <v>45</v>
      </c>
    </row>
    <row r="51" spans="1:17" x14ac:dyDescent="0.45">
      <c r="A51" s="4">
        <v>5</v>
      </c>
      <c r="B51" t="s">
        <v>30</v>
      </c>
      <c r="C51" s="4">
        <v>27</v>
      </c>
      <c r="D51" t="s">
        <v>61</v>
      </c>
      <c r="E51" t="s">
        <v>46</v>
      </c>
      <c r="F51" t="s">
        <v>47</v>
      </c>
      <c r="G51" t="s">
        <v>48</v>
      </c>
      <c r="H51" t="s">
        <v>40</v>
      </c>
      <c r="I51" s="4">
        <v>1</v>
      </c>
      <c r="J51" s="4">
        <v>3</v>
      </c>
      <c r="K51" t="s">
        <v>44</v>
      </c>
      <c r="L51" s="4">
        <v>2025</v>
      </c>
      <c r="M51" s="5">
        <v>838436</v>
      </c>
      <c r="N51" s="5">
        <v>818732</v>
      </c>
      <c r="O51" s="5"/>
      <c r="P51" t="s">
        <v>45</v>
      </c>
      <c r="Q51" t="s">
        <v>45</v>
      </c>
    </row>
    <row r="52" spans="1:17" x14ac:dyDescent="0.45">
      <c r="A52" s="4">
        <v>5</v>
      </c>
      <c r="B52" t="s">
        <v>30</v>
      </c>
      <c r="C52" s="4">
        <v>27</v>
      </c>
      <c r="D52" t="s">
        <v>61</v>
      </c>
      <c r="E52" t="s">
        <v>46</v>
      </c>
      <c r="F52" t="s">
        <v>47</v>
      </c>
      <c r="G52" t="s">
        <v>48</v>
      </c>
      <c r="H52" t="s">
        <v>40</v>
      </c>
      <c r="I52" s="4">
        <v>1</v>
      </c>
      <c r="J52" s="4">
        <v>3</v>
      </c>
      <c r="K52" t="s">
        <v>44</v>
      </c>
      <c r="L52" s="4">
        <v>2024</v>
      </c>
      <c r="M52" s="5">
        <v>694832</v>
      </c>
      <c r="N52" s="5">
        <v>694832</v>
      </c>
      <c r="O52" s="5">
        <v>389059911003.59998</v>
      </c>
      <c r="P52" t="s">
        <v>37</v>
      </c>
      <c r="Q52" t="s">
        <v>45</v>
      </c>
    </row>
    <row r="53" spans="1:17" x14ac:dyDescent="0.45">
      <c r="A53" s="4">
        <v>5</v>
      </c>
      <c r="B53" t="s">
        <v>30</v>
      </c>
      <c r="C53" s="4">
        <v>27</v>
      </c>
      <c r="D53" t="s">
        <v>61</v>
      </c>
      <c r="E53" t="s">
        <v>62</v>
      </c>
      <c r="F53" t="s">
        <v>63</v>
      </c>
      <c r="G53" t="s">
        <v>43</v>
      </c>
      <c r="H53" t="s">
        <v>35</v>
      </c>
      <c r="I53" s="4">
        <v>2</v>
      </c>
      <c r="J53" s="4">
        <v>2</v>
      </c>
      <c r="K53" t="s">
        <v>36</v>
      </c>
      <c r="L53" s="4">
        <v>2024</v>
      </c>
      <c r="M53" s="5">
        <v>77609</v>
      </c>
      <c r="N53" s="5">
        <v>77609</v>
      </c>
      <c r="O53" s="5">
        <v>330267137137.59998</v>
      </c>
      <c r="P53" t="s">
        <v>37</v>
      </c>
      <c r="Q53" t="s">
        <v>45</v>
      </c>
    </row>
    <row r="54" spans="1:17" x14ac:dyDescent="0.45">
      <c r="A54" s="4">
        <v>5</v>
      </c>
      <c r="B54" t="s">
        <v>30</v>
      </c>
      <c r="C54" s="4">
        <v>27</v>
      </c>
      <c r="D54" t="s">
        <v>61</v>
      </c>
      <c r="E54" t="s">
        <v>62</v>
      </c>
      <c r="F54" t="s">
        <v>63</v>
      </c>
      <c r="G54" t="s">
        <v>43</v>
      </c>
      <c r="H54" t="s">
        <v>35</v>
      </c>
      <c r="I54" s="4">
        <v>2</v>
      </c>
      <c r="J54" s="4">
        <v>2</v>
      </c>
      <c r="K54" t="s">
        <v>36</v>
      </c>
      <c r="L54" s="4">
        <v>2022</v>
      </c>
      <c r="M54" s="5">
        <v>125905</v>
      </c>
      <c r="N54" s="5">
        <v>134866</v>
      </c>
      <c r="O54" s="5">
        <v>301226575540.20001</v>
      </c>
      <c r="P54" t="s">
        <v>37</v>
      </c>
      <c r="Q54" t="s">
        <v>45</v>
      </c>
    </row>
    <row r="55" spans="1:17" x14ac:dyDescent="0.45">
      <c r="A55" s="4">
        <v>5</v>
      </c>
      <c r="B55" t="s">
        <v>30</v>
      </c>
      <c r="C55" s="4">
        <v>27</v>
      </c>
      <c r="D55" t="s">
        <v>61</v>
      </c>
      <c r="E55" t="s">
        <v>32</v>
      </c>
      <c r="F55" t="s">
        <v>33</v>
      </c>
      <c r="G55" t="s">
        <v>34</v>
      </c>
      <c r="H55" t="s">
        <v>35</v>
      </c>
      <c r="I55" s="4">
        <v>2</v>
      </c>
      <c r="J55" s="4">
        <v>2</v>
      </c>
      <c r="K55" t="s">
        <v>36</v>
      </c>
      <c r="L55" s="4">
        <v>2025</v>
      </c>
      <c r="M55" s="5">
        <v>138989</v>
      </c>
      <c r="N55" s="5">
        <v>135720</v>
      </c>
      <c r="O55" s="5"/>
      <c r="P55" t="s">
        <v>45</v>
      </c>
      <c r="Q55" t="s">
        <v>45</v>
      </c>
    </row>
    <row r="56" spans="1:17" x14ac:dyDescent="0.45">
      <c r="A56" s="4">
        <v>5</v>
      </c>
      <c r="B56" t="s">
        <v>30</v>
      </c>
      <c r="C56" s="4">
        <v>27</v>
      </c>
      <c r="D56" t="s">
        <v>61</v>
      </c>
      <c r="E56" t="s">
        <v>62</v>
      </c>
      <c r="F56" t="s">
        <v>63</v>
      </c>
      <c r="G56" t="s">
        <v>43</v>
      </c>
      <c r="H56" t="s">
        <v>35</v>
      </c>
      <c r="I56" s="4">
        <v>2</v>
      </c>
      <c r="J56" s="4">
        <v>2</v>
      </c>
      <c r="K56" t="s">
        <v>36</v>
      </c>
      <c r="L56" s="4">
        <v>2021</v>
      </c>
      <c r="M56" s="5">
        <v>123278</v>
      </c>
      <c r="N56" s="5">
        <v>141388</v>
      </c>
      <c r="O56" s="5">
        <v>315325547162.09998</v>
      </c>
      <c r="P56" t="s">
        <v>37</v>
      </c>
      <c r="Q56" t="s">
        <v>45</v>
      </c>
    </row>
    <row r="57" spans="1:17" x14ac:dyDescent="0.45">
      <c r="A57" s="4">
        <v>5</v>
      </c>
      <c r="B57" t="s">
        <v>30</v>
      </c>
      <c r="C57" s="4">
        <v>27</v>
      </c>
      <c r="D57" t="s">
        <v>61</v>
      </c>
      <c r="E57" t="s">
        <v>62</v>
      </c>
      <c r="F57" t="s">
        <v>63</v>
      </c>
      <c r="G57" t="s">
        <v>43</v>
      </c>
      <c r="H57" t="s">
        <v>35</v>
      </c>
      <c r="I57" s="4">
        <v>2</v>
      </c>
      <c r="J57" s="4">
        <v>2</v>
      </c>
      <c r="K57" t="s">
        <v>36</v>
      </c>
      <c r="L57" s="4">
        <v>2023</v>
      </c>
      <c r="M57" s="5">
        <v>252182</v>
      </c>
      <c r="N57" s="5">
        <v>258358</v>
      </c>
      <c r="O57" s="5">
        <v>335518054097.59998</v>
      </c>
      <c r="P57" t="s">
        <v>37</v>
      </c>
      <c r="Q57" t="s">
        <v>45</v>
      </c>
    </row>
    <row r="58" spans="1:17" x14ac:dyDescent="0.45">
      <c r="A58" s="4">
        <v>5</v>
      </c>
      <c r="B58" t="s">
        <v>30</v>
      </c>
      <c r="C58" s="4">
        <v>27</v>
      </c>
      <c r="D58" t="s">
        <v>61</v>
      </c>
      <c r="E58" t="s">
        <v>46</v>
      </c>
      <c r="F58" t="s">
        <v>47</v>
      </c>
      <c r="G58" t="s">
        <v>48</v>
      </c>
      <c r="H58" t="s">
        <v>40</v>
      </c>
      <c r="I58" s="4">
        <v>1</v>
      </c>
      <c r="J58" s="4">
        <v>2</v>
      </c>
      <c r="K58" t="s">
        <v>36</v>
      </c>
      <c r="L58" s="4">
        <v>2024</v>
      </c>
      <c r="M58" s="5">
        <v>581055</v>
      </c>
      <c r="N58" s="5">
        <v>581055</v>
      </c>
      <c r="O58" s="5">
        <v>389059911003.59998</v>
      </c>
      <c r="P58" t="s">
        <v>37</v>
      </c>
      <c r="Q58" t="s">
        <v>45</v>
      </c>
    </row>
    <row r="59" spans="1:17" x14ac:dyDescent="0.45">
      <c r="A59" s="4">
        <v>5</v>
      </c>
      <c r="B59" t="s">
        <v>30</v>
      </c>
      <c r="C59" s="4">
        <v>27</v>
      </c>
      <c r="D59" t="s">
        <v>61</v>
      </c>
      <c r="E59" t="s">
        <v>49</v>
      </c>
      <c r="F59" t="s">
        <v>50</v>
      </c>
      <c r="G59" t="s">
        <v>48</v>
      </c>
      <c r="H59" t="s">
        <v>35</v>
      </c>
      <c r="I59" s="4">
        <v>2</v>
      </c>
      <c r="J59" s="4">
        <v>2</v>
      </c>
      <c r="K59" t="s">
        <v>36</v>
      </c>
      <c r="L59" s="4">
        <v>2021</v>
      </c>
      <c r="M59" s="5">
        <v>519837</v>
      </c>
      <c r="N59" s="5">
        <v>596203</v>
      </c>
      <c r="O59" s="5">
        <v>14915002436.1</v>
      </c>
      <c r="P59" t="s">
        <v>37</v>
      </c>
      <c r="Q59" t="s">
        <v>45</v>
      </c>
    </row>
    <row r="60" spans="1:17" x14ac:dyDescent="0.45">
      <c r="A60" s="4">
        <v>5</v>
      </c>
      <c r="B60" t="s">
        <v>30</v>
      </c>
      <c r="C60" s="4">
        <v>27</v>
      </c>
      <c r="D60" t="s">
        <v>61</v>
      </c>
      <c r="E60" t="s">
        <v>46</v>
      </c>
      <c r="F60" t="s">
        <v>47</v>
      </c>
      <c r="G60" t="s">
        <v>48</v>
      </c>
      <c r="H60" t="s">
        <v>40</v>
      </c>
      <c r="I60" s="4">
        <v>1</v>
      </c>
      <c r="J60" s="4">
        <v>2</v>
      </c>
      <c r="K60" t="s">
        <v>36</v>
      </c>
      <c r="L60" s="4">
        <v>2025</v>
      </c>
      <c r="M60" s="5">
        <v>671558</v>
      </c>
      <c r="N60" s="5">
        <v>655775</v>
      </c>
      <c r="O60" s="5"/>
      <c r="P60" t="s">
        <v>45</v>
      </c>
      <c r="Q60" t="s">
        <v>45</v>
      </c>
    </row>
    <row r="61" spans="1:17" x14ac:dyDescent="0.45">
      <c r="A61" s="4">
        <v>5</v>
      </c>
      <c r="B61" t="s">
        <v>30</v>
      </c>
      <c r="C61" s="4">
        <v>27</v>
      </c>
      <c r="D61" t="s">
        <v>61</v>
      </c>
      <c r="E61" t="s">
        <v>49</v>
      </c>
      <c r="F61" t="s">
        <v>50</v>
      </c>
      <c r="G61" t="s">
        <v>48</v>
      </c>
      <c r="H61" t="s">
        <v>35</v>
      </c>
      <c r="I61" s="4">
        <v>2</v>
      </c>
      <c r="J61" s="4">
        <v>3</v>
      </c>
      <c r="K61" t="s">
        <v>44</v>
      </c>
      <c r="L61" s="4">
        <v>2021</v>
      </c>
      <c r="M61" s="5">
        <v>535462</v>
      </c>
      <c r="N61" s="5">
        <v>614124</v>
      </c>
      <c r="O61" s="5">
        <v>14915002436.1</v>
      </c>
      <c r="P61" t="s">
        <v>37</v>
      </c>
      <c r="Q61" t="s">
        <v>45</v>
      </c>
    </row>
    <row r="62" spans="1:17" x14ac:dyDescent="0.45">
      <c r="A62" s="4">
        <v>5</v>
      </c>
      <c r="B62" t="s">
        <v>30</v>
      </c>
      <c r="C62" s="4">
        <v>27</v>
      </c>
      <c r="D62" t="s">
        <v>61</v>
      </c>
      <c r="E62" t="s">
        <v>46</v>
      </c>
      <c r="F62" t="s">
        <v>47</v>
      </c>
      <c r="G62" t="s">
        <v>48</v>
      </c>
      <c r="H62" t="s">
        <v>40</v>
      </c>
      <c r="I62" s="4">
        <v>1</v>
      </c>
      <c r="J62" s="4">
        <v>2</v>
      </c>
      <c r="K62" t="s">
        <v>36</v>
      </c>
      <c r="L62" s="4">
        <v>2022</v>
      </c>
      <c r="M62" s="5">
        <v>1718945</v>
      </c>
      <c r="N62" s="5">
        <v>1841284</v>
      </c>
      <c r="O62" s="5">
        <v>476747720364.70001</v>
      </c>
      <c r="P62" t="s">
        <v>37</v>
      </c>
      <c r="Q62" t="s">
        <v>45</v>
      </c>
    </row>
    <row r="63" spans="1:17" x14ac:dyDescent="0.45">
      <c r="A63" s="4">
        <v>5</v>
      </c>
      <c r="B63" t="s">
        <v>30</v>
      </c>
      <c r="C63" s="4">
        <v>27</v>
      </c>
      <c r="D63" t="s">
        <v>61</v>
      </c>
      <c r="E63" t="s">
        <v>46</v>
      </c>
      <c r="F63" t="s">
        <v>47</v>
      </c>
      <c r="G63" t="s">
        <v>48</v>
      </c>
      <c r="H63" t="s">
        <v>40</v>
      </c>
      <c r="I63" s="4">
        <v>1</v>
      </c>
      <c r="J63" s="4">
        <v>2</v>
      </c>
      <c r="K63" t="s">
        <v>36</v>
      </c>
      <c r="L63" s="4">
        <v>2023</v>
      </c>
      <c r="M63" s="5">
        <v>1828442</v>
      </c>
      <c r="N63" s="5">
        <v>1873225</v>
      </c>
      <c r="O63" s="5">
        <v>395926075163</v>
      </c>
      <c r="P63" t="s">
        <v>37</v>
      </c>
      <c r="Q63" t="s">
        <v>45</v>
      </c>
    </row>
    <row r="64" spans="1:17" x14ac:dyDescent="0.45">
      <c r="A64" s="4">
        <v>5</v>
      </c>
      <c r="B64" t="s">
        <v>30</v>
      </c>
      <c r="C64" s="4">
        <v>27</v>
      </c>
      <c r="D64" t="s">
        <v>61</v>
      </c>
      <c r="E64" t="s">
        <v>58</v>
      </c>
      <c r="F64" t="s">
        <v>59</v>
      </c>
      <c r="G64" t="s">
        <v>57</v>
      </c>
      <c r="H64" t="s">
        <v>40</v>
      </c>
      <c r="I64" s="4">
        <v>1</v>
      </c>
      <c r="J64" s="4">
        <v>2</v>
      </c>
      <c r="K64" t="s">
        <v>36</v>
      </c>
      <c r="L64" s="4">
        <v>2022</v>
      </c>
      <c r="M64" s="5">
        <v>4000000</v>
      </c>
      <c r="N64" s="5">
        <v>4284687</v>
      </c>
      <c r="O64" s="5">
        <v>161989520721.20001</v>
      </c>
      <c r="P64" t="s">
        <v>37</v>
      </c>
      <c r="Q64" t="s">
        <v>45</v>
      </c>
    </row>
    <row r="65" spans="1:17" x14ac:dyDescent="0.45">
      <c r="A65" s="4">
        <v>5</v>
      </c>
      <c r="B65" t="s">
        <v>30</v>
      </c>
      <c r="C65" s="4">
        <v>27</v>
      </c>
      <c r="D65" t="s">
        <v>61</v>
      </c>
      <c r="E65" t="s">
        <v>58</v>
      </c>
      <c r="F65" t="s">
        <v>59</v>
      </c>
      <c r="G65" t="s">
        <v>57</v>
      </c>
      <c r="H65" t="s">
        <v>40</v>
      </c>
      <c r="I65" s="4">
        <v>1</v>
      </c>
      <c r="J65" s="4">
        <v>3</v>
      </c>
      <c r="K65" t="s">
        <v>44</v>
      </c>
      <c r="L65" s="4">
        <v>2025</v>
      </c>
      <c r="M65" s="5">
        <v>9234453</v>
      </c>
      <c r="N65" s="5">
        <v>9017435</v>
      </c>
      <c r="O65" s="5"/>
      <c r="P65" t="s">
        <v>45</v>
      </c>
      <c r="Q65" t="s">
        <v>45</v>
      </c>
    </row>
    <row r="66" spans="1:17" x14ac:dyDescent="0.45">
      <c r="A66" s="4">
        <v>5</v>
      </c>
      <c r="B66" t="s">
        <v>30</v>
      </c>
      <c r="C66" s="4">
        <v>27</v>
      </c>
      <c r="D66" t="s">
        <v>61</v>
      </c>
      <c r="E66" t="s">
        <v>58</v>
      </c>
      <c r="F66" t="s">
        <v>59</v>
      </c>
      <c r="G66" t="s">
        <v>57</v>
      </c>
      <c r="H66" t="s">
        <v>40</v>
      </c>
      <c r="I66" s="4">
        <v>1</v>
      </c>
      <c r="J66" s="4">
        <v>3</v>
      </c>
      <c r="K66" t="s">
        <v>44</v>
      </c>
      <c r="L66" s="4">
        <v>2021</v>
      </c>
      <c r="M66" s="5">
        <v>5411003</v>
      </c>
      <c r="N66" s="5">
        <v>6205905</v>
      </c>
      <c r="O66" s="5">
        <v>199765859570.89999</v>
      </c>
      <c r="P66" t="s">
        <v>37</v>
      </c>
      <c r="Q66" t="s">
        <v>45</v>
      </c>
    </row>
    <row r="67" spans="1:17" x14ac:dyDescent="0.45">
      <c r="A67" s="4">
        <v>5</v>
      </c>
      <c r="B67" t="s">
        <v>30</v>
      </c>
      <c r="C67" s="4">
        <v>27</v>
      </c>
      <c r="D67" t="s">
        <v>61</v>
      </c>
      <c r="E67" t="s">
        <v>58</v>
      </c>
      <c r="F67" t="s">
        <v>59</v>
      </c>
      <c r="G67" t="s">
        <v>57</v>
      </c>
      <c r="H67" t="s">
        <v>40</v>
      </c>
      <c r="I67" s="4">
        <v>1</v>
      </c>
      <c r="J67" s="4">
        <v>3</v>
      </c>
      <c r="K67" t="s">
        <v>44</v>
      </c>
      <c r="L67" s="4">
        <v>2023</v>
      </c>
      <c r="M67" s="5">
        <v>3466368</v>
      </c>
      <c r="N67" s="5">
        <v>3551266</v>
      </c>
      <c r="O67" s="5">
        <v>181221517868.70001</v>
      </c>
      <c r="P67" t="s">
        <v>37</v>
      </c>
      <c r="Q67" t="s">
        <v>45</v>
      </c>
    </row>
    <row r="68" spans="1:17" x14ac:dyDescent="0.45">
      <c r="A68" s="4">
        <v>5</v>
      </c>
      <c r="B68" t="s">
        <v>30</v>
      </c>
      <c r="C68" s="4">
        <v>27</v>
      </c>
      <c r="D68" t="s">
        <v>61</v>
      </c>
      <c r="E68" t="s">
        <v>58</v>
      </c>
      <c r="F68" t="s">
        <v>59</v>
      </c>
      <c r="G68" t="s">
        <v>57</v>
      </c>
      <c r="H68" t="s">
        <v>40</v>
      </c>
      <c r="I68" s="4">
        <v>1</v>
      </c>
      <c r="J68" s="4">
        <v>2</v>
      </c>
      <c r="K68" t="s">
        <v>36</v>
      </c>
      <c r="L68" s="4">
        <v>2023</v>
      </c>
      <c r="M68" s="5">
        <v>8300000</v>
      </c>
      <c r="N68" s="5">
        <v>8503285</v>
      </c>
      <c r="O68" s="5">
        <v>181221517868.70001</v>
      </c>
      <c r="P68" t="s">
        <v>37</v>
      </c>
      <c r="Q68" t="s">
        <v>45</v>
      </c>
    </row>
    <row r="69" spans="1:17" x14ac:dyDescent="0.45">
      <c r="A69" s="4">
        <v>5</v>
      </c>
      <c r="B69" t="s">
        <v>30</v>
      </c>
      <c r="C69" s="4">
        <v>27</v>
      </c>
      <c r="D69" t="s">
        <v>61</v>
      </c>
      <c r="E69" t="s">
        <v>58</v>
      </c>
      <c r="F69" t="s">
        <v>59</v>
      </c>
      <c r="G69" t="s">
        <v>57</v>
      </c>
      <c r="H69" t="s">
        <v>40</v>
      </c>
      <c r="I69" s="4">
        <v>1</v>
      </c>
      <c r="J69" s="4">
        <v>3</v>
      </c>
      <c r="K69" t="s">
        <v>44</v>
      </c>
      <c r="L69" s="4">
        <v>2024</v>
      </c>
      <c r="M69" s="5">
        <v>2952564</v>
      </c>
      <c r="N69" s="5">
        <v>2952564</v>
      </c>
      <c r="O69" s="5">
        <v>190741262414.70001</v>
      </c>
      <c r="P69" t="s">
        <v>37</v>
      </c>
      <c r="Q69" t="s">
        <v>45</v>
      </c>
    </row>
    <row r="70" spans="1:17" x14ac:dyDescent="0.45">
      <c r="A70" s="4">
        <v>5</v>
      </c>
      <c r="B70" t="s">
        <v>30</v>
      </c>
      <c r="C70" s="4">
        <v>27</v>
      </c>
      <c r="D70" t="s">
        <v>61</v>
      </c>
      <c r="E70" t="s">
        <v>58</v>
      </c>
      <c r="F70" t="s">
        <v>59</v>
      </c>
      <c r="G70" t="s">
        <v>57</v>
      </c>
      <c r="H70" t="s">
        <v>40</v>
      </c>
      <c r="I70" s="4">
        <v>1</v>
      </c>
      <c r="J70" s="4">
        <v>3</v>
      </c>
      <c r="K70" t="s">
        <v>44</v>
      </c>
      <c r="L70" s="4">
        <v>2022</v>
      </c>
      <c r="M70" s="5">
        <v>1491989</v>
      </c>
      <c r="N70" s="5">
        <v>1598176</v>
      </c>
      <c r="O70" s="5">
        <v>161989520721.20001</v>
      </c>
      <c r="P70" t="s">
        <v>37</v>
      </c>
      <c r="Q70" t="s">
        <v>45</v>
      </c>
    </row>
    <row r="71" spans="1:17" x14ac:dyDescent="0.45">
      <c r="A71" s="4">
        <v>5</v>
      </c>
      <c r="B71" t="s">
        <v>30</v>
      </c>
      <c r="C71" s="4">
        <v>27</v>
      </c>
      <c r="D71" t="s">
        <v>61</v>
      </c>
      <c r="E71" t="s">
        <v>58</v>
      </c>
      <c r="F71" t="s">
        <v>59</v>
      </c>
      <c r="G71" t="s">
        <v>57</v>
      </c>
      <c r="H71" t="s">
        <v>40</v>
      </c>
      <c r="I71" s="4">
        <v>1</v>
      </c>
      <c r="J71" s="4">
        <v>2</v>
      </c>
      <c r="K71" t="s">
        <v>36</v>
      </c>
      <c r="L71" s="4">
        <v>2024</v>
      </c>
      <c r="M71" s="5">
        <v>20000000</v>
      </c>
      <c r="N71" s="5">
        <v>20000000</v>
      </c>
      <c r="O71" s="5">
        <v>190741262414.70001</v>
      </c>
      <c r="P71" t="s">
        <v>37</v>
      </c>
      <c r="Q71" t="s">
        <v>45</v>
      </c>
    </row>
    <row r="72" spans="1:17" x14ac:dyDescent="0.45">
      <c r="A72" s="4">
        <v>5</v>
      </c>
      <c r="B72" t="s">
        <v>30</v>
      </c>
      <c r="C72" s="4">
        <v>30</v>
      </c>
      <c r="D72" t="s">
        <v>64</v>
      </c>
      <c r="E72" t="s">
        <v>32</v>
      </c>
      <c r="F72" t="s">
        <v>33</v>
      </c>
      <c r="G72" t="s">
        <v>34</v>
      </c>
      <c r="H72" t="s">
        <v>35</v>
      </c>
      <c r="I72" s="4">
        <v>2</v>
      </c>
      <c r="J72" s="4">
        <v>3</v>
      </c>
      <c r="K72" t="s">
        <v>44</v>
      </c>
      <c r="L72" s="4">
        <v>2025</v>
      </c>
      <c r="M72" s="5">
        <v>5661297</v>
      </c>
      <c r="N72" s="5">
        <v>5528252</v>
      </c>
      <c r="O72" s="5"/>
      <c r="P72" t="s">
        <v>45</v>
      </c>
      <c r="Q72" t="s">
        <v>45</v>
      </c>
    </row>
    <row r="73" spans="1:17" x14ac:dyDescent="0.45">
      <c r="A73" s="4">
        <v>5</v>
      </c>
      <c r="B73" t="s">
        <v>30</v>
      </c>
      <c r="C73" s="4">
        <v>30</v>
      </c>
      <c r="D73" t="s">
        <v>64</v>
      </c>
      <c r="E73" t="s">
        <v>32</v>
      </c>
      <c r="F73" t="s">
        <v>33</v>
      </c>
      <c r="G73" t="s">
        <v>34</v>
      </c>
      <c r="H73" t="s">
        <v>35</v>
      </c>
      <c r="I73" s="4">
        <v>2</v>
      </c>
      <c r="J73" s="4">
        <v>3</v>
      </c>
      <c r="K73" t="s">
        <v>44</v>
      </c>
      <c r="L73" s="4">
        <v>2021</v>
      </c>
      <c r="M73" s="5">
        <v>3091200</v>
      </c>
      <c r="N73" s="5">
        <v>3545314</v>
      </c>
      <c r="O73" s="5">
        <v>416271647910</v>
      </c>
      <c r="P73" t="s">
        <v>37</v>
      </c>
      <c r="Q73" t="s">
        <v>45</v>
      </c>
    </row>
    <row r="74" spans="1:17" x14ac:dyDescent="0.45">
      <c r="A74" s="4">
        <v>5</v>
      </c>
      <c r="B74" t="s">
        <v>30</v>
      </c>
      <c r="C74" s="4">
        <v>30</v>
      </c>
      <c r="D74" t="s">
        <v>64</v>
      </c>
      <c r="E74" t="s">
        <v>32</v>
      </c>
      <c r="F74" t="s">
        <v>33</v>
      </c>
      <c r="G74" t="s">
        <v>34</v>
      </c>
      <c r="H74" t="s">
        <v>35</v>
      </c>
      <c r="I74" s="4">
        <v>2</v>
      </c>
      <c r="J74" s="4">
        <v>3</v>
      </c>
      <c r="K74" t="s">
        <v>44</v>
      </c>
      <c r="L74" s="4">
        <v>2024</v>
      </c>
      <c r="M74" s="5">
        <v>3429341</v>
      </c>
      <c r="N74" s="5">
        <v>3429341</v>
      </c>
      <c r="O74" s="5">
        <v>450119432068.90002</v>
      </c>
      <c r="P74" t="s">
        <v>37</v>
      </c>
      <c r="Q74" t="s">
        <v>45</v>
      </c>
    </row>
    <row r="75" spans="1:17" x14ac:dyDescent="0.45">
      <c r="A75" s="4">
        <v>5</v>
      </c>
      <c r="B75" t="s">
        <v>30</v>
      </c>
      <c r="C75" s="4">
        <v>30</v>
      </c>
      <c r="D75" t="s">
        <v>64</v>
      </c>
      <c r="E75" t="s">
        <v>49</v>
      </c>
      <c r="F75" t="s">
        <v>50</v>
      </c>
      <c r="G75" t="s">
        <v>48</v>
      </c>
      <c r="H75" t="s">
        <v>35</v>
      </c>
      <c r="I75" s="4">
        <v>2</v>
      </c>
      <c r="J75" s="4">
        <v>2</v>
      </c>
      <c r="K75" t="s">
        <v>36</v>
      </c>
      <c r="L75" s="4">
        <v>2023</v>
      </c>
      <c r="M75" s="5">
        <v>-33713</v>
      </c>
      <c r="N75" s="5">
        <v>-34539</v>
      </c>
      <c r="O75" s="5">
        <v>16698786977.6</v>
      </c>
      <c r="P75" t="s">
        <v>37</v>
      </c>
      <c r="Q75" t="s">
        <v>37</v>
      </c>
    </row>
    <row r="76" spans="1:17" x14ac:dyDescent="0.45">
      <c r="A76" s="4">
        <v>5</v>
      </c>
      <c r="B76" t="s">
        <v>30</v>
      </c>
      <c r="C76" s="4">
        <v>30</v>
      </c>
      <c r="D76" t="s">
        <v>64</v>
      </c>
      <c r="E76" t="s">
        <v>32</v>
      </c>
      <c r="F76" t="s">
        <v>33</v>
      </c>
      <c r="G76" t="s">
        <v>34</v>
      </c>
      <c r="H76" t="s">
        <v>35</v>
      </c>
      <c r="I76" s="4">
        <v>2</v>
      </c>
      <c r="J76" s="4">
        <v>3</v>
      </c>
      <c r="K76" t="s">
        <v>44</v>
      </c>
      <c r="L76" s="4">
        <v>2023</v>
      </c>
      <c r="M76" s="5">
        <v>2799575</v>
      </c>
      <c r="N76" s="5">
        <v>2868139</v>
      </c>
      <c r="O76" s="5">
        <v>437415333018.29999</v>
      </c>
      <c r="P76" t="s">
        <v>37</v>
      </c>
      <c r="Q76" t="s">
        <v>45</v>
      </c>
    </row>
    <row r="77" spans="1:17" x14ac:dyDescent="0.45">
      <c r="A77" s="4">
        <v>5</v>
      </c>
      <c r="B77" t="s">
        <v>30</v>
      </c>
      <c r="C77" s="4">
        <v>30</v>
      </c>
      <c r="D77" t="s">
        <v>64</v>
      </c>
      <c r="E77" t="s">
        <v>49</v>
      </c>
      <c r="F77" t="s">
        <v>50</v>
      </c>
      <c r="G77" t="s">
        <v>48</v>
      </c>
      <c r="H77" t="s">
        <v>35</v>
      </c>
      <c r="I77" s="4">
        <v>2</v>
      </c>
      <c r="J77" s="4">
        <v>2</v>
      </c>
      <c r="K77" t="s">
        <v>36</v>
      </c>
      <c r="L77" s="4">
        <v>2024</v>
      </c>
      <c r="M77" s="5">
        <v>-15068</v>
      </c>
      <c r="N77" s="5">
        <v>-15068</v>
      </c>
      <c r="O77" s="5">
        <v>19876128485.799999</v>
      </c>
      <c r="P77" t="s">
        <v>37</v>
      </c>
      <c r="Q77" t="s">
        <v>37</v>
      </c>
    </row>
    <row r="78" spans="1:17" x14ac:dyDescent="0.45">
      <c r="A78" s="4">
        <v>5</v>
      </c>
      <c r="B78" t="s">
        <v>30</v>
      </c>
      <c r="C78" s="4">
        <v>30</v>
      </c>
      <c r="D78" t="s">
        <v>64</v>
      </c>
      <c r="E78" t="s">
        <v>32</v>
      </c>
      <c r="F78" t="s">
        <v>33</v>
      </c>
      <c r="G78" t="s">
        <v>34</v>
      </c>
      <c r="H78" t="s">
        <v>35</v>
      </c>
      <c r="I78" s="4">
        <v>2</v>
      </c>
      <c r="J78" s="4">
        <v>3</v>
      </c>
      <c r="K78" t="s">
        <v>44</v>
      </c>
      <c r="L78" s="4">
        <v>2022</v>
      </c>
      <c r="M78" s="5">
        <v>463930</v>
      </c>
      <c r="N78" s="5">
        <v>496950</v>
      </c>
      <c r="O78" s="5">
        <v>462131689083.09998</v>
      </c>
      <c r="P78" t="s">
        <v>37</v>
      </c>
      <c r="Q78" t="s">
        <v>45</v>
      </c>
    </row>
    <row r="79" spans="1:17" x14ac:dyDescent="0.45">
      <c r="A79" s="4">
        <v>5</v>
      </c>
      <c r="B79" t="s">
        <v>30</v>
      </c>
      <c r="C79" s="4">
        <v>30</v>
      </c>
      <c r="D79" t="s">
        <v>64</v>
      </c>
      <c r="E79" t="s">
        <v>41</v>
      </c>
      <c r="F79" t="s">
        <v>42</v>
      </c>
      <c r="G79" t="s">
        <v>43</v>
      </c>
      <c r="H79" t="s">
        <v>40</v>
      </c>
      <c r="I79" s="4">
        <v>1</v>
      </c>
      <c r="J79" s="4">
        <v>3</v>
      </c>
      <c r="K79" t="s">
        <v>44</v>
      </c>
      <c r="L79" s="4">
        <v>2024</v>
      </c>
      <c r="M79" s="5">
        <v>3260325</v>
      </c>
      <c r="N79" s="5">
        <v>3260325</v>
      </c>
      <c r="O79" s="5">
        <v>418818154879.29999</v>
      </c>
      <c r="P79" t="s">
        <v>37</v>
      </c>
      <c r="Q79" t="s">
        <v>45</v>
      </c>
    </row>
    <row r="80" spans="1:17" x14ac:dyDescent="0.45">
      <c r="A80" s="4">
        <v>5</v>
      </c>
      <c r="B80" t="s">
        <v>30</v>
      </c>
      <c r="C80" s="4">
        <v>30</v>
      </c>
      <c r="D80" t="s">
        <v>64</v>
      </c>
      <c r="E80" t="s">
        <v>41</v>
      </c>
      <c r="F80" t="s">
        <v>42</v>
      </c>
      <c r="G80" t="s">
        <v>43</v>
      </c>
      <c r="H80" t="s">
        <v>40</v>
      </c>
      <c r="I80" s="4">
        <v>1</v>
      </c>
      <c r="J80" s="4">
        <v>3</v>
      </c>
      <c r="K80" t="s">
        <v>44</v>
      </c>
      <c r="L80" s="4">
        <v>2025</v>
      </c>
      <c r="M80" s="5">
        <v>980726</v>
      </c>
      <c r="N80" s="5">
        <v>957679</v>
      </c>
      <c r="O80" s="5"/>
      <c r="P80" t="s">
        <v>45</v>
      </c>
      <c r="Q80" t="s">
        <v>45</v>
      </c>
    </row>
    <row r="81" spans="1:17" x14ac:dyDescent="0.45">
      <c r="A81" s="4">
        <v>5</v>
      </c>
      <c r="B81" t="s">
        <v>30</v>
      </c>
      <c r="C81" s="4">
        <v>30</v>
      </c>
      <c r="D81" t="s">
        <v>64</v>
      </c>
      <c r="E81" t="s">
        <v>41</v>
      </c>
      <c r="F81" t="s">
        <v>42</v>
      </c>
      <c r="G81" t="s">
        <v>43</v>
      </c>
      <c r="H81" t="s">
        <v>40</v>
      </c>
      <c r="I81" s="4">
        <v>1</v>
      </c>
      <c r="J81" s="4">
        <v>3</v>
      </c>
      <c r="K81" t="s">
        <v>44</v>
      </c>
      <c r="L81" s="4">
        <v>2023</v>
      </c>
      <c r="M81" s="5">
        <v>305154</v>
      </c>
      <c r="N81" s="5">
        <v>312629</v>
      </c>
      <c r="O81" s="5">
        <v>336291836137.90002</v>
      </c>
      <c r="P81" t="s">
        <v>37</v>
      </c>
      <c r="Q81" t="s">
        <v>45</v>
      </c>
    </row>
    <row r="82" spans="1:17" x14ac:dyDescent="0.45">
      <c r="A82" s="4">
        <v>5</v>
      </c>
      <c r="B82" t="s">
        <v>30</v>
      </c>
      <c r="C82" s="4">
        <v>30</v>
      </c>
      <c r="D82" t="s">
        <v>64</v>
      </c>
      <c r="E82" t="s">
        <v>41</v>
      </c>
      <c r="F82" t="s">
        <v>42</v>
      </c>
      <c r="G82" t="s">
        <v>43</v>
      </c>
      <c r="H82" t="s">
        <v>40</v>
      </c>
      <c r="I82" s="4">
        <v>1</v>
      </c>
      <c r="J82" s="4">
        <v>3</v>
      </c>
      <c r="K82" t="s">
        <v>44</v>
      </c>
      <c r="L82" s="4">
        <v>2022</v>
      </c>
      <c r="M82" s="5">
        <v>170706</v>
      </c>
      <c r="N82" s="5">
        <v>182856</v>
      </c>
      <c r="O82" s="5">
        <v>345632492851.40002</v>
      </c>
      <c r="P82" t="s">
        <v>37</v>
      </c>
      <c r="Q82" t="s">
        <v>45</v>
      </c>
    </row>
    <row r="83" spans="1:17" x14ac:dyDescent="0.45">
      <c r="A83" s="4">
        <v>5</v>
      </c>
      <c r="B83" t="s">
        <v>30</v>
      </c>
      <c r="C83" s="4">
        <v>30</v>
      </c>
      <c r="D83" t="s">
        <v>64</v>
      </c>
      <c r="E83" t="s">
        <v>41</v>
      </c>
      <c r="F83" t="s">
        <v>42</v>
      </c>
      <c r="G83" t="s">
        <v>43</v>
      </c>
      <c r="H83" t="s">
        <v>40</v>
      </c>
      <c r="I83" s="4">
        <v>1</v>
      </c>
      <c r="J83" s="4">
        <v>3</v>
      </c>
      <c r="K83" t="s">
        <v>44</v>
      </c>
      <c r="L83" s="4">
        <v>2021</v>
      </c>
      <c r="M83" s="5">
        <v>45199</v>
      </c>
      <c r="N83" s="5">
        <v>51839</v>
      </c>
      <c r="O83" s="5">
        <v>318524633225.40002</v>
      </c>
      <c r="P83" t="s">
        <v>37</v>
      </c>
      <c r="Q83" t="s">
        <v>45</v>
      </c>
    </row>
    <row r="84" spans="1:17" x14ac:dyDescent="0.45">
      <c r="A84" s="4">
        <v>5</v>
      </c>
      <c r="B84" t="s">
        <v>30</v>
      </c>
      <c r="C84" s="4">
        <v>30</v>
      </c>
      <c r="D84" t="s">
        <v>64</v>
      </c>
      <c r="E84" t="s">
        <v>46</v>
      </c>
      <c r="F84" t="s">
        <v>47</v>
      </c>
      <c r="G84" t="s">
        <v>48</v>
      </c>
      <c r="H84" t="s">
        <v>40</v>
      </c>
      <c r="I84" s="4">
        <v>1</v>
      </c>
      <c r="J84" s="4">
        <v>3</v>
      </c>
      <c r="K84" t="s">
        <v>44</v>
      </c>
      <c r="L84" s="4">
        <v>2022</v>
      </c>
      <c r="M84" s="5">
        <v>22281217</v>
      </c>
      <c r="N84" s="5">
        <v>23867005</v>
      </c>
      <c r="O84" s="5">
        <v>476747720364.70001</v>
      </c>
      <c r="P84" t="s">
        <v>37</v>
      </c>
      <c r="Q84" t="s">
        <v>45</v>
      </c>
    </row>
    <row r="85" spans="1:17" x14ac:dyDescent="0.45">
      <c r="A85" s="4">
        <v>5</v>
      </c>
      <c r="B85" t="s">
        <v>30</v>
      </c>
      <c r="C85" s="4">
        <v>30</v>
      </c>
      <c r="D85" t="s">
        <v>64</v>
      </c>
      <c r="E85" t="s">
        <v>46</v>
      </c>
      <c r="F85" t="s">
        <v>47</v>
      </c>
      <c r="G85" t="s">
        <v>48</v>
      </c>
      <c r="H85" t="s">
        <v>40</v>
      </c>
      <c r="I85" s="4">
        <v>1</v>
      </c>
      <c r="J85" s="4">
        <v>3</v>
      </c>
      <c r="K85" t="s">
        <v>44</v>
      </c>
      <c r="L85" s="4">
        <v>2023</v>
      </c>
      <c r="M85" s="5">
        <v>22501369</v>
      </c>
      <c r="N85" s="5">
        <v>23052477</v>
      </c>
      <c r="O85" s="5">
        <v>395926075163</v>
      </c>
      <c r="P85" t="s">
        <v>37</v>
      </c>
      <c r="Q85" t="s">
        <v>45</v>
      </c>
    </row>
    <row r="86" spans="1:17" x14ac:dyDescent="0.45">
      <c r="A86" s="4">
        <v>5</v>
      </c>
      <c r="B86" t="s">
        <v>30</v>
      </c>
      <c r="C86" s="4">
        <v>30</v>
      </c>
      <c r="D86" t="s">
        <v>64</v>
      </c>
      <c r="E86" t="s">
        <v>46</v>
      </c>
      <c r="F86" t="s">
        <v>47</v>
      </c>
      <c r="G86" t="s">
        <v>48</v>
      </c>
      <c r="H86" t="s">
        <v>40</v>
      </c>
      <c r="I86" s="4">
        <v>1</v>
      </c>
      <c r="J86" s="4">
        <v>3</v>
      </c>
      <c r="K86" t="s">
        <v>44</v>
      </c>
      <c r="L86" s="4">
        <v>2024</v>
      </c>
      <c r="M86" s="5">
        <v>21355617</v>
      </c>
      <c r="N86" s="5">
        <v>21355617</v>
      </c>
      <c r="O86" s="5">
        <v>389059911003.59998</v>
      </c>
      <c r="P86" t="s">
        <v>37</v>
      </c>
      <c r="Q86" t="s">
        <v>45</v>
      </c>
    </row>
    <row r="87" spans="1:17" x14ac:dyDescent="0.45">
      <c r="A87" s="4">
        <v>5</v>
      </c>
      <c r="B87" t="s">
        <v>30</v>
      </c>
      <c r="C87" s="4">
        <v>30</v>
      </c>
      <c r="D87" t="s">
        <v>64</v>
      </c>
      <c r="E87" t="s">
        <v>46</v>
      </c>
      <c r="F87" t="s">
        <v>47</v>
      </c>
      <c r="G87" t="s">
        <v>48</v>
      </c>
      <c r="H87" t="s">
        <v>40</v>
      </c>
      <c r="I87" s="4">
        <v>1</v>
      </c>
      <c r="J87" s="4">
        <v>3</v>
      </c>
      <c r="K87" t="s">
        <v>44</v>
      </c>
      <c r="L87" s="4">
        <v>2025</v>
      </c>
      <c r="M87" s="5">
        <v>12615473</v>
      </c>
      <c r="N87" s="5">
        <v>12318998</v>
      </c>
      <c r="O87" s="5"/>
      <c r="P87" t="s">
        <v>45</v>
      </c>
      <c r="Q87" t="s">
        <v>45</v>
      </c>
    </row>
    <row r="88" spans="1:17" x14ac:dyDescent="0.45">
      <c r="A88" s="4">
        <v>5</v>
      </c>
      <c r="B88" t="s">
        <v>30</v>
      </c>
      <c r="C88" s="4">
        <v>30</v>
      </c>
      <c r="D88" t="s">
        <v>64</v>
      </c>
      <c r="E88" t="s">
        <v>46</v>
      </c>
      <c r="F88" t="s">
        <v>47</v>
      </c>
      <c r="G88" t="s">
        <v>48</v>
      </c>
      <c r="H88" t="s">
        <v>40</v>
      </c>
      <c r="I88" s="4">
        <v>1</v>
      </c>
      <c r="J88" s="4">
        <v>3</v>
      </c>
      <c r="K88" t="s">
        <v>44</v>
      </c>
      <c r="L88" s="4">
        <v>2021</v>
      </c>
      <c r="M88" s="5">
        <v>7470298</v>
      </c>
      <c r="N88" s="5">
        <v>8567729</v>
      </c>
      <c r="O88" s="5">
        <v>424671765455.70001</v>
      </c>
      <c r="P88" t="s">
        <v>37</v>
      </c>
      <c r="Q88" t="s">
        <v>45</v>
      </c>
    </row>
    <row r="89" spans="1:17" x14ac:dyDescent="0.45">
      <c r="A89" s="4">
        <v>5</v>
      </c>
      <c r="B89" t="s">
        <v>30</v>
      </c>
      <c r="C89" s="4">
        <v>30</v>
      </c>
      <c r="D89" t="s">
        <v>64</v>
      </c>
      <c r="E89" t="s">
        <v>38</v>
      </c>
      <c r="F89" t="s">
        <v>39</v>
      </c>
      <c r="G89" t="s">
        <v>34</v>
      </c>
      <c r="H89" t="s">
        <v>40</v>
      </c>
      <c r="I89" s="4">
        <v>1</v>
      </c>
      <c r="J89" s="4">
        <v>1</v>
      </c>
      <c r="K89" t="s">
        <v>65</v>
      </c>
      <c r="L89" s="4">
        <v>2022</v>
      </c>
      <c r="M89" s="5">
        <v>38000</v>
      </c>
      <c r="N89" s="5">
        <v>38000</v>
      </c>
      <c r="O89" s="5">
        <v>48764963380.300003</v>
      </c>
      <c r="P89" t="s">
        <v>37</v>
      </c>
      <c r="Q89" t="s">
        <v>45</v>
      </c>
    </row>
    <row r="90" spans="1:17" x14ac:dyDescent="0.45">
      <c r="A90" s="4">
        <v>5</v>
      </c>
      <c r="B90" t="s">
        <v>30</v>
      </c>
      <c r="C90" s="4">
        <v>30</v>
      </c>
      <c r="D90" t="s">
        <v>64</v>
      </c>
      <c r="E90" t="s">
        <v>51</v>
      </c>
      <c r="F90" t="s">
        <v>52</v>
      </c>
      <c r="G90" t="s">
        <v>53</v>
      </c>
      <c r="H90" t="s">
        <v>54</v>
      </c>
      <c r="I90" s="4">
        <v>1</v>
      </c>
      <c r="J90" s="4">
        <v>1</v>
      </c>
      <c r="K90" t="s">
        <v>65</v>
      </c>
      <c r="L90" s="4">
        <v>2022</v>
      </c>
      <c r="M90" s="5">
        <v>75000</v>
      </c>
      <c r="N90" s="5">
        <v>75000</v>
      </c>
      <c r="O90" s="5">
        <v>31653185952.599998</v>
      </c>
      <c r="P90" t="s">
        <v>37</v>
      </c>
      <c r="Q90" t="s">
        <v>45</v>
      </c>
    </row>
    <row r="91" spans="1:17" x14ac:dyDescent="0.45">
      <c r="A91" s="4">
        <v>5</v>
      </c>
      <c r="B91" t="s">
        <v>30</v>
      </c>
      <c r="C91" s="4">
        <v>30</v>
      </c>
      <c r="D91" t="s">
        <v>64</v>
      </c>
      <c r="E91" t="s">
        <v>55</v>
      </c>
      <c r="F91" t="s">
        <v>56</v>
      </c>
      <c r="G91" t="s">
        <v>57</v>
      </c>
      <c r="H91" t="s">
        <v>35</v>
      </c>
      <c r="I91" s="4">
        <v>2</v>
      </c>
      <c r="J91" s="4">
        <v>3</v>
      </c>
      <c r="K91" t="s">
        <v>44</v>
      </c>
      <c r="L91" s="4">
        <v>2024</v>
      </c>
      <c r="M91" s="5">
        <v>29627068</v>
      </c>
      <c r="N91" s="5">
        <v>29627068</v>
      </c>
      <c r="O91" s="5">
        <v>34189423545</v>
      </c>
      <c r="P91" t="s">
        <v>37</v>
      </c>
      <c r="Q91" t="s">
        <v>45</v>
      </c>
    </row>
    <row r="92" spans="1:17" x14ac:dyDescent="0.45">
      <c r="A92" s="4">
        <v>5</v>
      </c>
      <c r="B92" t="s">
        <v>30</v>
      </c>
      <c r="C92" s="4">
        <v>30</v>
      </c>
      <c r="D92" t="s">
        <v>64</v>
      </c>
      <c r="E92" t="s">
        <v>55</v>
      </c>
      <c r="F92" t="s">
        <v>56</v>
      </c>
      <c r="G92" t="s">
        <v>57</v>
      </c>
      <c r="H92" t="s">
        <v>35</v>
      </c>
      <c r="I92" s="4">
        <v>2</v>
      </c>
      <c r="J92" s="4">
        <v>3</v>
      </c>
      <c r="K92" t="s">
        <v>44</v>
      </c>
      <c r="L92" s="4">
        <v>2023</v>
      </c>
      <c r="M92" s="5">
        <v>19570138</v>
      </c>
      <c r="N92" s="5">
        <v>20049450</v>
      </c>
      <c r="O92" s="5">
        <v>30777833600.700001</v>
      </c>
      <c r="P92" t="s">
        <v>37</v>
      </c>
      <c r="Q92" t="s">
        <v>45</v>
      </c>
    </row>
    <row r="93" spans="1:17" x14ac:dyDescent="0.45">
      <c r="A93" s="4">
        <v>5</v>
      </c>
      <c r="B93" t="s">
        <v>30</v>
      </c>
      <c r="C93" s="4">
        <v>30</v>
      </c>
      <c r="D93" t="s">
        <v>64</v>
      </c>
      <c r="E93" t="s">
        <v>38</v>
      </c>
      <c r="F93" t="s">
        <v>39</v>
      </c>
      <c r="G93" t="s">
        <v>34</v>
      </c>
      <c r="H93" t="s">
        <v>40</v>
      </c>
      <c r="I93" s="4">
        <v>1</v>
      </c>
      <c r="J93" s="4">
        <v>2</v>
      </c>
      <c r="K93" t="s">
        <v>36</v>
      </c>
      <c r="L93" s="4">
        <v>2025</v>
      </c>
      <c r="M93" s="5">
        <v>108557</v>
      </c>
      <c r="N93" s="5">
        <v>106006</v>
      </c>
      <c r="O93" s="5"/>
      <c r="P93" t="s">
        <v>45</v>
      </c>
      <c r="Q93" t="s">
        <v>45</v>
      </c>
    </row>
    <row r="94" spans="1:17" x14ac:dyDescent="0.45">
      <c r="A94" s="4">
        <v>5</v>
      </c>
      <c r="B94" t="s">
        <v>30</v>
      </c>
      <c r="C94" s="4">
        <v>30</v>
      </c>
      <c r="D94" t="s">
        <v>64</v>
      </c>
      <c r="E94" t="s">
        <v>55</v>
      </c>
      <c r="F94" t="s">
        <v>56</v>
      </c>
      <c r="G94" t="s">
        <v>57</v>
      </c>
      <c r="H94" t="s">
        <v>35</v>
      </c>
      <c r="I94" s="4">
        <v>2</v>
      </c>
      <c r="J94" s="4">
        <v>3</v>
      </c>
      <c r="K94" t="s">
        <v>44</v>
      </c>
      <c r="L94" s="4">
        <v>2022</v>
      </c>
      <c r="M94" s="5">
        <v>16837572</v>
      </c>
      <c r="N94" s="5">
        <v>18035928</v>
      </c>
      <c r="O94" s="5">
        <v>24984568959.599998</v>
      </c>
      <c r="P94" t="s">
        <v>37</v>
      </c>
      <c r="Q94" t="s">
        <v>45</v>
      </c>
    </row>
    <row r="95" spans="1:17" x14ac:dyDescent="0.45">
      <c r="A95" s="4">
        <v>5</v>
      </c>
      <c r="B95" t="s">
        <v>30</v>
      </c>
      <c r="C95" s="4">
        <v>30</v>
      </c>
      <c r="D95" t="s">
        <v>64</v>
      </c>
      <c r="E95" t="s">
        <v>55</v>
      </c>
      <c r="F95" t="s">
        <v>56</v>
      </c>
      <c r="G95" t="s">
        <v>57</v>
      </c>
      <c r="H95" t="s">
        <v>35</v>
      </c>
      <c r="I95" s="4">
        <v>2</v>
      </c>
      <c r="J95" s="4">
        <v>3</v>
      </c>
      <c r="K95" t="s">
        <v>44</v>
      </c>
      <c r="L95" s="4">
        <v>2021</v>
      </c>
      <c r="M95" s="5">
        <v>14527999</v>
      </c>
      <c r="N95" s="5">
        <v>16662232</v>
      </c>
      <c r="O95" s="5">
        <v>18853115588.799999</v>
      </c>
      <c r="P95" t="s">
        <v>37</v>
      </c>
      <c r="Q95" t="s">
        <v>45</v>
      </c>
    </row>
    <row r="96" spans="1:17" x14ac:dyDescent="0.45">
      <c r="A96" s="4">
        <v>5</v>
      </c>
      <c r="B96" t="s">
        <v>30</v>
      </c>
      <c r="C96" s="4">
        <v>30</v>
      </c>
      <c r="D96" t="s">
        <v>64</v>
      </c>
      <c r="E96" t="s">
        <v>55</v>
      </c>
      <c r="F96" t="s">
        <v>56</v>
      </c>
      <c r="G96" t="s">
        <v>57</v>
      </c>
      <c r="H96" t="s">
        <v>35</v>
      </c>
      <c r="I96" s="4">
        <v>2</v>
      </c>
      <c r="J96" s="4">
        <v>3</v>
      </c>
      <c r="K96" t="s">
        <v>44</v>
      </c>
      <c r="L96" s="4">
        <v>2025</v>
      </c>
      <c r="M96" s="5">
        <v>9377239</v>
      </c>
      <c r="N96" s="5">
        <v>9156865</v>
      </c>
      <c r="O96" s="5"/>
      <c r="P96" t="s">
        <v>45</v>
      </c>
      <c r="Q96" t="s">
        <v>45</v>
      </c>
    </row>
    <row r="97" spans="1:17" x14ac:dyDescent="0.45">
      <c r="A97" s="4">
        <v>5</v>
      </c>
      <c r="B97" t="s">
        <v>30</v>
      </c>
      <c r="C97" s="4">
        <v>30</v>
      </c>
      <c r="D97" t="s">
        <v>64</v>
      </c>
      <c r="E97" t="s">
        <v>41</v>
      </c>
      <c r="F97" t="s">
        <v>42</v>
      </c>
      <c r="G97" t="s">
        <v>43</v>
      </c>
      <c r="H97" t="s">
        <v>40</v>
      </c>
      <c r="I97" s="4">
        <v>1</v>
      </c>
      <c r="J97" s="4">
        <v>2</v>
      </c>
      <c r="K97" t="s">
        <v>36</v>
      </c>
      <c r="L97" s="4">
        <v>2022</v>
      </c>
      <c r="M97" s="5">
        <v>115335</v>
      </c>
      <c r="N97" s="5">
        <v>123544</v>
      </c>
      <c r="O97" s="5">
        <v>345632492851.40002</v>
      </c>
      <c r="P97" t="s">
        <v>37</v>
      </c>
      <c r="Q97" t="s">
        <v>45</v>
      </c>
    </row>
    <row r="98" spans="1:17" x14ac:dyDescent="0.45">
      <c r="A98" s="4">
        <v>5</v>
      </c>
      <c r="B98" t="s">
        <v>30</v>
      </c>
      <c r="C98" s="4">
        <v>30</v>
      </c>
      <c r="D98" t="s">
        <v>64</v>
      </c>
      <c r="E98" t="s">
        <v>38</v>
      </c>
      <c r="F98" t="s">
        <v>39</v>
      </c>
      <c r="G98" t="s">
        <v>34</v>
      </c>
      <c r="H98" t="s">
        <v>40</v>
      </c>
      <c r="I98" s="4">
        <v>1</v>
      </c>
      <c r="J98" s="4">
        <v>3</v>
      </c>
      <c r="K98" t="s">
        <v>44</v>
      </c>
      <c r="L98" s="4">
        <v>2021</v>
      </c>
      <c r="M98" s="5">
        <v>37864512</v>
      </c>
      <c r="N98" s="5">
        <v>43427003</v>
      </c>
      <c r="O98" s="5">
        <v>46296100140.800003</v>
      </c>
      <c r="P98" t="s">
        <v>37</v>
      </c>
      <c r="Q98" t="s">
        <v>45</v>
      </c>
    </row>
    <row r="99" spans="1:17" x14ac:dyDescent="0.45">
      <c r="A99" s="4">
        <v>5</v>
      </c>
      <c r="B99" t="s">
        <v>30</v>
      </c>
      <c r="C99" s="4">
        <v>30</v>
      </c>
      <c r="D99" t="s">
        <v>64</v>
      </c>
      <c r="E99" t="s">
        <v>38</v>
      </c>
      <c r="F99" t="s">
        <v>39</v>
      </c>
      <c r="G99" t="s">
        <v>34</v>
      </c>
      <c r="H99" t="s">
        <v>40</v>
      </c>
      <c r="I99" s="4">
        <v>1</v>
      </c>
      <c r="J99" s="4">
        <v>3</v>
      </c>
      <c r="K99" t="s">
        <v>44</v>
      </c>
      <c r="L99" s="4">
        <v>2024</v>
      </c>
      <c r="M99" s="5">
        <v>40955006</v>
      </c>
      <c r="N99" s="5">
        <v>40955006</v>
      </c>
      <c r="O99" s="5">
        <v>53352289577.5</v>
      </c>
      <c r="P99" t="s">
        <v>37</v>
      </c>
      <c r="Q99" t="s">
        <v>45</v>
      </c>
    </row>
    <row r="100" spans="1:17" x14ac:dyDescent="0.45">
      <c r="A100" s="4">
        <v>5</v>
      </c>
      <c r="B100" t="s">
        <v>30</v>
      </c>
      <c r="C100" s="4">
        <v>30</v>
      </c>
      <c r="D100" t="s">
        <v>64</v>
      </c>
      <c r="E100" t="s">
        <v>38</v>
      </c>
      <c r="F100" t="s">
        <v>39</v>
      </c>
      <c r="G100" t="s">
        <v>34</v>
      </c>
      <c r="H100" t="s">
        <v>40</v>
      </c>
      <c r="I100" s="4">
        <v>1</v>
      </c>
      <c r="J100" s="4">
        <v>3</v>
      </c>
      <c r="K100" t="s">
        <v>44</v>
      </c>
      <c r="L100" s="4">
        <v>2025</v>
      </c>
      <c r="M100" s="5">
        <v>37209859</v>
      </c>
      <c r="N100" s="5">
        <v>36335388</v>
      </c>
      <c r="O100" s="5"/>
      <c r="P100" t="s">
        <v>45</v>
      </c>
      <c r="Q100" t="s">
        <v>45</v>
      </c>
    </row>
    <row r="101" spans="1:17" x14ac:dyDescent="0.45">
      <c r="A101" s="4">
        <v>5</v>
      </c>
      <c r="B101" t="s">
        <v>30</v>
      </c>
      <c r="C101" s="4">
        <v>30</v>
      </c>
      <c r="D101" t="s">
        <v>64</v>
      </c>
      <c r="E101" t="s">
        <v>49</v>
      </c>
      <c r="F101" t="s">
        <v>50</v>
      </c>
      <c r="G101" t="s">
        <v>48</v>
      </c>
      <c r="H101" t="s">
        <v>35</v>
      </c>
      <c r="I101" s="4">
        <v>2</v>
      </c>
      <c r="J101" s="4">
        <v>2</v>
      </c>
      <c r="K101" t="s">
        <v>36</v>
      </c>
      <c r="L101" s="4">
        <v>2022</v>
      </c>
      <c r="M101" s="5">
        <v>187500</v>
      </c>
      <c r="N101" s="5">
        <v>200844</v>
      </c>
      <c r="O101" s="5">
        <v>15433852712.299999</v>
      </c>
      <c r="P101" t="s">
        <v>37</v>
      </c>
      <c r="Q101" t="s">
        <v>45</v>
      </c>
    </row>
    <row r="102" spans="1:17" x14ac:dyDescent="0.45">
      <c r="A102" s="4">
        <v>5</v>
      </c>
      <c r="B102" t="s">
        <v>30</v>
      </c>
      <c r="C102" s="4">
        <v>30</v>
      </c>
      <c r="D102" t="s">
        <v>64</v>
      </c>
      <c r="E102" t="s">
        <v>38</v>
      </c>
      <c r="F102" t="s">
        <v>39</v>
      </c>
      <c r="G102" t="s">
        <v>34</v>
      </c>
      <c r="H102" t="s">
        <v>40</v>
      </c>
      <c r="I102" s="4">
        <v>1</v>
      </c>
      <c r="J102" s="4">
        <v>3</v>
      </c>
      <c r="K102" t="s">
        <v>44</v>
      </c>
      <c r="L102" s="4">
        <v>2023</v>
      </c>
      <c r="M102" s="5">
        <v>32915271</v>
      </c>
      <c r="N102" s="5">
        <v>33721437</v>
      </c>
      <c r="O102" s="5">
        <v>51088476388</v>
      </c>
      <c r="P102" t="s">
        <v>37</v>
      </c>
      <c r="Q102" t="s">
        <v>45</v>
      </c>
    </row>
    <row r="103" spans="1:17" x14ac:dyDescent="0.45">
      <c r="A103" s="4">
        <v>5</v>
      </c>
      <c r="B103" t="s">
        <v>30</v>
      </c>
      <c r="C103" s="4">
        <v>30</v>
      </c>
      <c r="D103" t="s">
        <v>64</v>
      </c>
      <c r="E103" t="s">
        <v>38</v>
      </c>
      <c r="F103" t="s">
        <v>39</v>
      </c>
      <c r="G103" t="s">
        <v>34</v>
      </c>
      <c r="H103" t="s">
        <v>40</v>
      </c>
      <c r="I103" s="4">
        <v>1</v>
      </c>
      <c r="J103" s="4">
        <v>3</v>
      </c>
      <c r="K103" t="s">
        <v>44</v>
      </c>
      <c r="L103" s="4">
        <v>2022</v>
      </c>
      <c r="M103" s="5">
        <v>12668447</v>
      </c>
      <c r="N103" s="5">
        <v>13570084</v>
      </c>
      <c r="O103" s="5">
        <v>48764963380.300003</v>
      </c>
      <c r="P103" t="s">
        <v>37</v>
      </c>
      <c r="Q103" t="s">
        <v>45</v>
      </c>
    </row>
    <row r="104" spans="1:17" x14ac:dyDescent="0.45">
      <c r="A104" s="4">
        <v>5</v>
      </c>
      <c r="B104" t="s">
        <v>30</v>
      </c>
      <c r="C104" s="4">
        <v>30</v>
      </c>
      <c r="D104" t="s">
        <v>64</v>
      </c>
      <c r="E104" t="s">
        <v>41</v>
      </c>
      <c r="F104" t="s">
        <v>42</v>
      </c>
      <c r="G104" t="s">
        <v>43</v>
      </c>
      <c r="H104" t="s">
        <v>40</v>
      </c>
      <c r="I104" s="4">
        <v>1</v>
      </c>
      <c r="J104" s="4">
        <v>2</v>
      </c>
      <c r="K104" t="s">
        <v>36</v>
      </c>
      <c r="L104" s="4">
        <v>2021</v>
      </c>
      <c r="M104" s="5">
        <v>405724</v>
      </c>
      <c r="N104" s="5">
        <v>465326</v>
      </c>
      <c r="O104" s="5">
        <v>318524633225.40002</v>
      </c>
      <c r="P104" t="s">
        <v>37</v>
      </c>
      <c r="Q104" t="s">
        <v>45</v>
      </c>
    </row>
    <row r="105" spans="1:17" x14ac:dyDescent="0.45">
      <c r="A105" s="4">
        <v>5</v>
      </c>
      <c r="B105" t="s">
        <v>30</v>
      </c>
      <c r="C105" s="4">
        <v>30</v>
      </c>
      <c r="D105" t="s">
        <v>64</v>
      </c>
      <c r="E105" t="s">
        <v>51</v>
      </c>
      <c r="F105" t="s">
        <v>52</v>
      </c>
      <c r="G105" t="s">
        <v>53</v>
      </c>
      <c r="H105" t="s">
        <v>54</v>
      </c>
      <c r="I105" s="4">
        <v>1</v>
      </c>
      <c r="J105" s="4">
        <v>2</v>
      </c>
      <c r="K105" t="s">
        <v>36</v>
      </c>
      <c r="L105" s="4">
        <v>2022</v>
      </c>
      <c r="M105" s="5">
        <v>473650</v>
      </c>
      <c r="N105" s="5">
        <v>507360</v>
      </c>
      <c r="O105" s="5">
        <v>31653185952.599998</v>
      </c>
      <c r="P105" t="s">
        <v>37</v>
      </c>
      <c r="Q105" t="s">
        <v>45</v>
      </c>
    </row>
    <row r="106" spans="1:17" x14ac:dyDescent="0.45">
      <c r="A106" s="4">
        <v>5</v>
      </c>
      <c r="B106" t="s">
        <v>30</v>
      </c>
      <c r="C106" s="4">
        <v>30</v>
      </c>
      <c r="D106" t="s">
        <v>64</v>
      </c>
      <c r="E106" t="s">
        <v>32</v>
      </c>
      <c r="F106" t="s">
        <v>33</v>
      </c>
      <c r="G106" t="s">
        <v>34</v>
      </c>
      <c r="H106" t="s">
        <v>35</v>
      </c>
      <c r="I106" s="4">
        <v>2</v>
      </c>
      <c r="J106" s="4">
        <v>2</v>
      </c>
      <c r="K106" t="s">
        <v>36</v>
      </c>
      <c r="L106" s="4">
        <v>2021</v>
      </c>
      <c r="M106" s="5">
        <v>500000</v>
      </c>
      <c r="N106" s="5">
        <v>573453</v>
      </c>
      <c r="O106" s="5">
        <v>416271647910</v>
      </c>
      <c r="P106" t="s">
        <v>37</v>
      </c>
      <c r="Q106" t="s">
        <v>45</v>
      </c>
    </row>
    <row r="107" spans="1:17" x14ac:dyDescent="0.45">
      <c r="A107" s="4">
        <v>5</v>
      </c>
      <c r="B107" t="s">
        <v>30</v>
      </c>
      <c r="C107" s="4">
        <v>30</v>
      </c>
      <c r="D107" t="s">
        <v>64</v>
      </c>
      <c r="E107" t="s">
        <v>51</v>
      </c>
      <c r="F107" t="s">
        <v>52</v>
      </c>
      <c r="G107" t="s">
        <v>53</v>
      </c>
      <c r="H107" t="s">
        <v>54</v>
      </c>
      <c r="I107" s="4">
        <v>1</v>
      </c>
      <c r="J107" s="4">
        <v>2</v>
      </c>
      <c r="K107" t="s">
        <v>36</v>
      </c>
      <c r="L107" s="4">
        <v>2021</v>
      </c>
      <c r="M107" s="5">
        <v>526350</v>
      </c>
      <c r="N107" s="5">
        <v>603673</v>
      </c>
      <c r="O107" s="5">
        <v>26109413521.299999</v>
      </c>
      <c r="P107" t="s">
        <v>37</v>
      </c>
      <c r="Q107" t="s">
        <v>45</v>
      </c>
    </row>
    <row r="108" spans="1:17" x14ac:dyDescent="0.45">
      <c r="A108" s="4">
        <v>5</v>
      </c>
      <c r="B108" t="s">
        <v>30</v>
      </c>
      <c r="C108" s="4">
        <v>30</v>
      </c>
      <c r="D108" t="s">
        <v>64</v>
      </c>
      <c r="E108" t="s">
        <v>38</v>
      </c>
      <c r="F108" t="s">
        <v>39</v>
      </c>
      <c r="G108" t="s">
        <v>34</v>
      </c>
      <c r="H108" t="s">
        <v>40</v>
      </c>
      <c r="I108" s="4">
        <v>1</v>
      </c>
      <c r="J108" s="4">
        <v>18</v>
      </c>
      <c r="K108" t="s">
        <v>66</v>
      </c>
      <c r="L108" s="4">
        <v>2022</v>
      </c>
      <c r="M108" s="5">
        <v>625000</v>
      </c>
      <c r="N108" s="5">
        <v>625000</v>
      </c>
      <c r="O108" s="5">
        <v>48764963380.300003</v>
      </c>
      <c r="P108" t="s">
        <v>37</v>
      </c>
      <c r="Q108" t="s">
        <v>45</v>
      </c>
    </row>
    <row r="109" spans="1:17" x14ac:dyDescent="0.45">
      <c r="A109" s="4">
        <v>5</v>
      </c>
      <c r="B109" t="s">
        <v>30</v>
      </c>
      <c r="C109" s="4">
        <v>30</v>
      </c>
      <c r="D109" t="s">
        <v>64</v>
      </c>
      <c r="E109" t="s">
        <v>49</v>
      </c>
      <c r="F109" t="s">
        <v>50</v>
      </c>
      <c r="G109" t="s">
        <v>48</v>
      </c>
      <c r="H109" t="s">
        <v>35</v>
      </c>
      <c r="I109" s="4">
        <v>2</v>
      </c>
      <c r="J109" s="4">
        <v>3</v>
      </c>
      <c r="K109" t="s">
        <v>44</v>
      </c>
      <c r="L109" s="4">
        <v>2022</v>
      </c>
      <c r="M109" s="5">
        <v>2648892</v>
      </c>
      <c r="N109" s="5">
        <v>2837420</v>
      </c>
      <c r="O109" s="5">
        <v>15433852712.299999</v>
      </c>
      <c r="P109" t="s">
        <v>37</v>
      </c>
      <c r="Q109" t="s">
        <v>45</v>
      </c>
    </row>
    <row r="110" spans="1:17" x14ac:dyDescent="0.45">
      <c r="A110" s="4">
        <v>5</v>
      </c>
      <c r="B110" t="s">
        <v>30</v>
      </c>
      <c r="C110" s="4">
        <v>30</v>
      </c>
      <c r="D110" t="s">
        <v>64</v>
      </c>
      <c r="E110" t="s">
        <v>49</v>
      </c>
      <c r="F110" t="s">
        <v>50</v>
      </c>
      <c r="G110" t="s">
        <v>48</v>
      </c>
      <c r="H110" t="s">
        <v>35</v>
      </c>
      <c r="I110" s="4">
        <v>2</v>
      </c>
      <c r="J110" s="4">
        <v>3</v>
      </c>
      <c r="K110" t="s">
        <v>44</v>
      </c>
      <c r="L110" s="4">
        <v>2023</v>
      </c>
      <c r="M110" s="5">
        <v>528606</v>
      </c>
      <c r="N110" s="5">
        <v>541554</v>
      </c>
      <c r="O110" s="5">
        <v>16698786977.6</v>
      </c>
      <c r="P110" t="s">
        <v>37</v>
      </c>
      <c r="Q110" t="s">
        <v>45</v>
      </c>
    </row>
    <row r="111" spans="1:17" x14ac:dyDescent="0.45">
      <c r="A111" s="4">
        <v>5</v>
      </c>
      <c r="B111" t="s">
        <v>30</v>
      </c>
      <c r="C111" s="4">
        <v>30</v>
      </c>
      <c r="D111" t="s">
        <v>64</v>
      </c>
      <c r="E111" t="s">
        <v>49</v>
      </c>
      <c r="F111" t="s">
        <v>50</v>
      </c>
      <c r="G111" t="s">
        <v>48</v>
      </c>
      <c r="H111" t="s">
        <v>35</v>
      </c>
      <c r="I111" s="4">
        <v>2</v>
      </c>
      <c r="J111" s="4">
        <v>3</v>
      </c>
      <c r="K111" t="s">
        <v>44</v>
      </c>
      <c r="L111" s="4">
        <v>2025</v>
      </c>
      <c r="M111" s="5">
        <v>100000</v>
      </c>
      <c r="N111" s="5">
        <v>97650</v>
      </c>
      <c r="O111" s="5"/>
      <c r="P111" t="s">
        <v>45</v>
      </c>
      <c r="Q111" t="s">
        <v>45</v>
      </c>
    </row>
    <row r="112" spans="1:17" x14ac:dyDescent="0.45">
      <c r="A112" s="4">
        <v>5</v>
      </c>
      <c r="B112" t="s">
        <v>30</v>
      </c>
      <c r="C112" s="4">
        <v>30</v>
      </c>
      <c r="D112" t="s">
        <v>64</v>
      </c>
      <c r="E112" t="s">
        <v>32</v>
      </c>
      <c r="F112" t="s">
        <v>33</v>
      </c>
      <c r="G112" t="s">
        <v>34</v>
      </c>
      <c r="H112" t="s">
        <v>35</v>
      </c>
      <c r="I112" s="4">
        <v>2</v>
      </c>
      <c r="J112" s="4">
        <v>18</v>
      </c>
      <c r="K112" t="s">
        <v>66</v>
      </c>
      <c r="L112" s="4">
        <v>2023</v>
      </c>
      <c r="M112" s="5">
        <v>1000000</v>
      </c>
      <c r="N112" s="5">
        <v>953798</v>
      </c>
      <c r="O112" s="5">
        <v>437415333018.29999</v>
      </c>
      <c r="P112" t="s">
        <v>37</v>
      </c>
      <c r="Q112" t="s">
        <v>45</v>
      </c>
    </row>
    <row r="113" spans="1:17" x14ac:dyDescent="0.45">
      <c r="A113" s="4">
        <v>5</v>
      </c>
      <c r="B113" t="s">
        <v>30</v>
      </c>
      <c r="C113" s="4">
        <v>30</v>
      </c>
      <c r="D113" t="s">
        <v>64</v>
      </c>
      <c r="E113" t="s">
        <v>51</v>
      </c>
      <c r="F113" t="s">
        <v>52</v>
      </c>
      <c r="G113" t="s">
        <v>53</v>
      </c>
      <c r="H113" t="s">
        <v>54</v>
      </c>
      <c r="I113" s="4">
        <v>1</v>
      </c>
      <c r="J113" s="4">
        <v>2</v>
      </c>
      <c r="K113" t="s">
        <v>36</v>
      </c>
      <c r="L113" s="4">
        <v>2024</v>
      </c>
      <c r="M113" s="5">
        <v>1000000</v>
      </c>
      <c r="N113" s="5">
        <v>1000000</v>
      </c>
      <c r="O113" s="5">
        <v>31800428265.5</v>
      </c>
      <c r="P113" t="s">
        <v>37</v>
      </c>
      <c r="Q113" t="s">
        <v>45</v>
      </c>
    </row>
    <row r="114" spans="1:17" x14ac:dyDescent="0.45">
      <c r="A114" s="4">
        <v>5</v>
      </c>
      <c r="B114" t="s">
        <v>30</v>
      </c>
      <c r="C114" s="4">
        <v>30</v>
      </c>
      <c r="D114" t="s">
        <v>64</v>
      </c>
      <c r="E114" t="s">
        <v>55</v>
      </c>
      <c r="F114" t="s">
        <v>56</v>
      </c>
      <c r="G114" t="s">
        <v>57</v>
      </c>
      <c r="H114" t="s">
        <v>35</v>
      </c>
      <c r="I114" s="4">
        <v>2</v>
      </c>
      <c r="J114" s="4">
        <v>18</v>
      </c>
      <c r="K114" t="s">
        <v>66</v>
      </c>
      <c r="L114" s="4">
        <v>2021</v>
      </c>
      <c r="M114" s="5">
        <v>1000000</v>
      </c>
      <c r="N114" s="5">
        <v>1069288</v>
      </c>
      <c r="O114" s="5">
        <v>18853115588.799999</v>
      </c>
      <c r="P114" t="s">
        <v>37</v>
      </c>
      <c r="Q114" t="s">
        <v>45</v>
      </c>
    </row>
    <row r="115" spans="1:17" x14ac:dyDescent="0.45">
      <c r="A115" s="4">
        <v>5</v>
      </c>
      <c r="B115" t="s">
        <v>30</v>
      </c>
      <c r="C115" s="4">
        <v>30</v>
      </c>
      <c r="D115" t="s">
        <v>64</v>
      </c>
      <c r="E115" t="s">
        <v>41</v>
      </c>
      <c r="F115" t="s">
        <v>42</v>
      </c>
      <c r="G115" t="s">
        <v>43</v>
      </c>
      <c r="H115" t="s">
        <v>40</v>
      </c>
      <c r="I115" s="4">
        <v>1</v>
      </c>
      <c r="J115" s="4">
        <v>2</v>
      </c>
      <c r="K115" t="s">
        <v>36</v>
      </c>
      <c r="L115" s="4">
        <v>2025</v>
      </c>
      <c r="M115" s="5">
        <v>1175000</v>
      </c>
      <c r="N115" s="5">
        <v>1147386</v>
      </c>
      <c r="O115" s="5"/>
      <c r="P115" t="s">
        <v>45</v>
      </c>
      <c r="Q115" t="s">
        <v>45</v>
      </c>
    </row>
    <row r="116" spans="1:17" x14ac:dyDescent="0.45">
      <c r="A116" s="4">
        <v>5</v>
      </c>
      <c r="B116" t="s">
        <v>30</v>
      </c>
      <c r="C116" s="4">
        <v>30</v>
      </c>
      <c r="D116" t="s">
        <v>64</v>
      </c>
      <c r="E116" t="s">
        <v>49</v>
      </c>
      <c r="F116" t="s">
        <v>50</v>
      </c>
      <c r="G116" t="s">
        <v>48</v>
      </c>
      <c r="H116" t="s">
        <v>35</v>
      </c>
      <c r="I116" s="4">
        <v>2</v>
      </c>
      <c r="J116" s="4">
        <v>3</v>
      </c>
      <c r="K116" t="s">
        <v>44</v>
      </c>
      <c r="L116" s="4">
        <v>2024</v>
      </c>
      <c r="M116" s="5">
        <v>26287</v>
      </c>
      <c r="N116" s="5">
        <v>26287</v>
      </c>
      <c r="O116" s="5">
        <v>19876128485.799999</v>
      </c>
      <c r="P116" t="s">
        <v>37</v>
      </c>
      <c r="Q116" t="s">
        <v>45</v>
      </c>
    </row>
    <row r="117" spans="1:17" x14ac:dyDescent="0.45">
      <c r="A117" s="4">
        <v>5</v>
      </c>
      <c r="B117" t="s">
        <v>30</v>
      </c>
      <c r="C117" s="4">
        <v>30</v>
      </c>
      <c r="D117" t="s">
        <v>64</v>
      </c>
      <c r="E117" t="s">
        <v>51</v>
      </c>
      <c r="F117" t="s">
        <v>52</v>
      </c>
      <c r="G117" t="s">
        <v>53</v>
      </c>
      <c r="H117" t="s">
        <v>54</v>
      </c>
      <c r="I117" s="4">
        <v>1</v>
      </c>
      <c r="J117" s="4">
        <v>2</v>
      </c>
      <c r="K117" t="s">
        <v>36</v>
      </c>
      <c r="L117" s="4">
        <v>2023</v>
      </c>
      <c r="M117" s="5">
        <v>1200000</v>
      </c>
      <c r="N117" s="5">
        <v>1229391</v>
      </c>
      <c r="O117" s="5">
        <v>30816367067</v>
      </c>
      <c r="P117" t="s">
        <v>37</v>
      </c>
      <c r="Q117" t="s">
        <v>45</v>
      </c>
    </row>
    <row r="118" spans="1:17" x14ac:dyDescent="0.45">
      <c r="A118" s="4">
        <v>5</v>
      </c>
      <c r="B118" t="s">
        <v>30</v>
      </c>
      <c r="C118" s="4">
        <v>30</v>
      </c>
      <c r="D118" t="s">
        <v>64</v>
      </c>
      <c r="E118" t="s">
        <v>49</v>
      </c>
      <c r="F118" t="s">
        <v>50</v>
      </c>
      <c r="G118" t="s">
        <v>48</v>
      </c>
      <c r="H118" t="s">
        <v>35</v>
      </c>
      <c r="I118" s="4">
        <v>2</v>
      </c>
      <c r="J118" s="4">
        <v>3</v>
      </c>
      <c r="K118" t="s">
        <v>44</v>
      </c>
      <c r="L118" s="4">
        <v>2021</v>
      </c>
      <c r="M118" s="5">
        <v>10430</v>
      </c>
      <c r="N118" s="5">
        <v>11963</v>
      </c>
      <c r="O118" s="5">
        <v>14915002436.1</v>
      </c>
      <c r="P118" t="s">
        <v>37</v>
      </c>
      <c r="Q118" t="s">
        <v>45</v>
      </c>
    </row>
    <row r="119" spans="1:17" x14ac:dyDescent="0.45">
      <c r="A119" s="4">
        <v>5</v>
      </c>
      <c r="B119" t="s">
        <v>30</v>
      </c>
      <c r="C119" s="4">
        <v>30</v>
      </c>
      <c r="D119" t="s">
        <v>64</v>
      </c>
      <c r="E119" t="s">
        <v>51</v>
      </c>
      <c r="F119" t="s">
        <v>52</v>
      </c>
      <c r="G119" t="s">
        <v>53</v>
      </c>
      <c r="H119" t="s">
        <v>54</v>
      </c>
      <c r="I119" s="4">
        <v>1</v>
      </c>
      <c r="J119" s="4">
        <v>3</v>
      </c>
      <c r="K119" t="s">
        <v>44</v>
      </c>
      <c r="L119" s="4">
        <v>2022</v>
      </c>
      <c r="M119" s="5">
        <v>1049937</v>
      </c>
      <c r="N119" s="5">
        <v>1124662</v>
      </c>
      <c r="O119" s="5">
        <v>31653185952.599998</v>
      </c>
      <c r="P119" t="s">
        <v>37</v>
      </c>
      <c r="Q119" t="s">
        <v>45</v>
      </c>
    </row>
    <row r="120" spans="1:17" x14ac:dyDescent="0.45">
      <c r="A120" s="4">
        <v>5</v>
      </c>
      <c r="B120" t="s">
        <v>30</v>
      </c>
      <c r="C120" s="4">
        <v>30</v>
      </c>
      <c r="D120" t="s">
        <v>64</v>
      </c>
      <c r="E120" t="s">
        <v>51</v>
      </c>
      <c r="F120" t="s">
        <v>52</v>
      </c>
      <c r="G120" t="s">
        <v>53</v>
      </c>
      <c r="H120" t="s">
        <v>54</v>
      </c>
      <c r="I120" s="4">
        <v>1</v>
      </c>
      <c r="J120" s="4">
        <v>3</v>
      </c>
      <c r="K120" t="s">
        <v>44</v>
      </c>
      <c r="L120" s="4">
        <v>2021</v>
      </c>
      <c r="M120" s="5">
        <v>753827</v>
      </c>
      <c r="N120" s="5">
        <v>864569</v>
      </c>
      <c r="O120" s="5">
        <v>26109413521.299999</v>
      </c>
      <c r="P120" t="s">
        <v>37</v>
      </c>
      <c r="Q120" t="s">
        <v>45</v>
      </c>
    </row>
    <row r="121" spans="1:17" x14ac:dyDescent="0.45">
      <c r="A121" s="4">
        <v>5</v>
      </c>
      <c r="B121" t="s">
        <v>30</v>
      </c>
      <c r="C121" s="4">
        <v>30</v>
      </c>
      <c r="D121" t="s">
        <v>64</v>
      </c>
      <c r="E121" t="s">
        <v>51</v>
      </c>
      <c r="F121" t="s">
        <v>52</v>
      </c>
      <c r="G121" t="s">
        <v>53</v>
      </c>
      <c r="H121" t="s">
        <v>54</v>
      </c>
      <c r="I121" s="4">
        <v>1</v>
      </c>
      <c r="J121" s="4">
        <v>3</v>
      </c>
      <c r="K121" t="s">
        <v>44</v>
      </c>
      <c r="L121" s="4">
        <v>2023</v>
      </c>
      <c r="M121" s="5">
        <v>727576</v>
      </c>
      <c r="N121" s="5">
        <v>745396</v>
      </c>
      <c r="O121" s="5">
        <v>30816367067</v>
      </c>
      <c r="P121" t="s">
        <v>37</v>
      </c>
      <c r="Q121" t="s">
        <v>45</v>
      </c>
    </row>
    <row r="122" spans="1:17" x14ac:dyDescent="0.45">
      <c r="A122" s="4">
        <v>5</v>
      </c>
      <c r="B122" t="s">
        <v>30</v>
      </c>
      <c r="C122" s="4">
        <v>30</v>
      </c>
      <c r="D122" t="s">
        <v>64</v>
      </c>
      <c r="E122" t="s">
        <v>55</v>
      </c>
      <c r="F122" t="s">
        <v>56</v>
      </c>
      <c r="G122" t="s">
        <v>57</v>
      </c>
      <c r="H122" t="s">
        <v>35</v>
      </c>
      <c r="I122" s="4">
        <v>2</v>
      </c>
      <c r="J122" s="4">
        <v>1</v>
      </c>
      <c r="K122" t="s">
        <v>65</v>
      </c>
      <c r="L122" s="4">
        <v>2023</v>
      </c>
      <c r="M122" s="5">
        <v>2060000</v>
      </c>
      <c r="N122" s="5">
        <v>1964825</v>
      </c>
      <c r="O122" s="5">
        <v>30777833600.700001</v>
      </c>
      <c r="P122" t="s">
        <v>37</v>
      </c>
      <c r="Q122" t="s">
        <v>45</v>
      </c>
    </row>
    <row r="123" spans="1:17" x14ac:dyDescent="0.45">
      <c r="A123" s="4">
        <v>5</v>
      </c>
      <c r="B123" t="s">
        <v>30</v>
      </c>
      <c r="C123" s="4">
        <v>30</v>
      </c>
      <c r="D123" t="s">
        <v>64</v>
      </c>
      <c r="E123" t="s">
        <v>32</v>
      </c>
      <c r="F123" t="s">
        <v>33</v>
      </c>
      <c r="G123" t="s">
        <v>34</v>
      </c>
      <c r="H123" t="s">
        <v>35</v>
      </c>
      <c r="I123" s="4">
        <v>2</v>
      </c>
      <c r="J123" s="4">
        <v>1</v>
      </c>
      <c r="K123" t="s">
        <v>65</v>
      </c>
      <c r="L123" s="4">
        <v>2022</v>
      </c>
      <c r="M123" s="5">
        <v>2000000</v>
      </c>
      <c r="N123" s="5">
        <v>2000000</v>
      </c>
      <c r="O123" s="5">
        <v>462131689083.09998</v>
      </c>
      <c r="P123" t="s">
        <v>37</v>
      </c>
      <c r="Q123" t="s">
        <v>45</v>
      </c>
    </row>
    <row r="124" spans="1:17" x14ac:dyDescent="0.45">
      <c r="A124" s="4">
        <v>5</v>
      </c>
      <c r="B124" t="s">
        <v>30</v>
      </c>
      <c r="C124" s="4">
        <v>30</v>
      </c>
      <c r="D124" t="s">
        <v>64</v>
      </c>
      <c r="E124" t="s">
        <v>51</v>
      </c>
      <c r="F124" t="s">
        <v>52</v>
      </c>
      <c r="G124" t="s">
        <v>53</v>
      </c>
      <c r="H124" t="s">
        <v>54</v>
      </c>
      <c r="I124" s="4">
        <v>1</v>
      </c>
      <c r="J124" s="4">
        <v>3</v>
      </c>
      <c r="K124" t="s">
        <v>44</v>
      </c>
      <c r="L124" s="4">
        <v>2024</v>
      </c>
      <c r="M124" s="5">
        <v>447370</v>
      </c>
      <c r="N124" s="5">
        <v>447370</v>
      </c>
      <c r="O124" s="5">
        <v>31800428265.5</v>
      </c>
      <c r="P124" t="s">
        <v>37</v>
      </c>
      <c r="Q124" t="s">
        <v>45</v>
      </c>
    </row>
    <row r="125" spans="1:17" x14ac:dyDescent="0.45">
      <c r="A125" s="4">
        <v>5</v>
      </c>
      <c r="B125" t="s">
        <v>30</v>
      </c>
      <c r="C125" s="4">
        <v>30</v>
      </c>
      <c r="D125" t="s">
        <v>64</v>
      </c>
      <c r="E125" t="s">
        <v>58</v>
      </c>
      <c r="F125" t="s">
        <v>59</v>
      </c>
      <c r="G125" t="s">
        <v>57</v>
      </c>
      <c r="H125" t="s">
        <v>40</v>
      </c>
      <c r="I125" s="4">
        <v>1</v>
      </c>
      <c r="J125" s="4">
        <v>18</v>
      </c>
      <c r="K125" t="s">
        <v>66</v>
      </c>
      <c r="L125" s="4">
        <v>2021</v>
      </c>
      <c r="M125" s="5">
        <v>2119000</v>
      </c>
      <c r="N125" s="5">
        <v>2265820</v>
      </c>
      <c r="O125" s="5">
        <v>199765859570.89999</v>
      </c>
      <c r="P125" t="s">
        <v>37</v>
      </c>
      <c r="Q125" t="s">
        <v>45</v>
      </c>
    </row>
    <row r="126" spans="1:17" x14ac:dyDescent="0.45">
      <c r="A126" s="4">
        <v>5</v>
      </c>
      <c r="B126" t="s">
        <v>30</v>
      </c>
      <c r="C126" s="4">
        <v>30</v>
      </c>
      <c r="D126" t="s">
        <v>64</v>
      </c>
      <c r="E126" t="s">
        <v>51</v>
      </c>
      <c r="F126" t="s">
        <v>52</v>
      </c>
      <c r="G126" t="s">
        <v>53</v>
      </c>
      <c r="H126" t="s">
        <v>54</v>
      </c>
      <c r="I126" s="4">
        <v>1</v>
      </c>
      <c r="J126" s="4">
        <v>3</v>
      </c>
      <c r="K126" t="s">
        <v>44</v>
      </c>
      <c r="L126" s="4">
        <v>2025</v>
      </c>
      <c r="M126" s="5">
        <v>211691</v>
      </c>
      <c r="N126" s="5">
        <v>206717</v>
      </c>
      <c r="O126" s="5"/>
      <c r="P126" t="s">
        <v>45</v>
      </c>
      <c r="Q126" t="s">
        <v>45</v>
      </c>
    </row>
    <row r="127" spans="1:17" x14ac:dyDescent="0.45">
      <c r="A127" s="4">
        <v>5</v>
      </c>
      <c r="B127" t="s">
        <v>30</v>
      </c>
      <c r="C127" s="4">
        <v>30</v>
      </c>
      <c r="D127" t="s">
        <v>64</v>
      </c>
      <c r="E127" t="s">
        <v>49</v>
      </c>
      <c r="F127" t="s">
        <v>50</v>
      </c>
      <c r="G127" t="s">
        <v>48</v>
      </c>
      <c r="H127" t="s">
        <v>35</v>
      </c>
      <c r="I127" s="4">
        <v>2</v>
      </c>
      <c r="J127" s="4">
        <v>2</v>
      </c>
      <c r="K127" t="s">
        <v>36</v>
      </c>
      <c r="L127" s="4">
        <v>2021</v>
      </c>
      <c r="M127" s="5">
        <v>2210430</v>
      </c>
      <c r="N127" s="5">
        <v>2535154</v>
      </c>
      <c r="O127" s="5">
        <v>14915002436.1</v>
      </c>
      <c r="P127" t="s">
        <v>37</v>
      </c>
      <c r="Q127" t="s">
        <v>45</v>
      </c>
    </row>
    <row r="128" spans="1:17" x14ac:dyDescent="0.45">
      <c r="A128" s="4">
        <v>5</v>
      </c>
      <c r="B128" t="s">
        <v>30</v>
      </c>
      <c r="C128" s="4">
        <v>30</v>
      </c>
      <c r="D128" t="s">
        <v>64</v>
      </c>
      <c r="E128" t="s">
        <v>58</v>
      </c>
      <c r="F128" t="s">
        <v>59</v>
      </c>
      <c r="G128" t="s">
        <v>57</v>
      </c>
      <c r="H128" t="s">
        <v>40</v>
      </c>
      <c r="I128" s="4">
        <v>1</v>
      </c>
      <c r="J128" s="4">
        <v>3</v>
      </c>
      <c r="K128" t="s">
        <v>44</v>
      </c>
      <c r="L128" s="4">
        <v>2024</v>
      </c>
      <c r="M128" s="5">
        <v>131499009</v>
      </c>
      <c r="N128" s="5">
        <v>131499009</v>
      </c>
      <c r="O128" s="5">
        <v>190741262414.70001</v>
      </c>
      <c r="P128" t="s">
        <v>37</v>
      </c>
      <c r="Q128" t="s">
        <v>45</v>
      </c>
    </row>
    <row r="129" spans="1:17" x14ac:dyDescent="0.45">
      <c r="A129" s="4">
        <v>5</v>
      </c>
      <c r="B129" t="s">
        <v>30</v>
      </c>
      <c r="C129" s="4">
        <v>30</v>
      </c>
      <c r="D129" t="s">
        <v>64</v>
      </c>
      <c r="E129" t="s">
        <v>58</v>
      </c>
      <c r="F129" t="s">
        <v>59</v>
      </c>
      <c r="G129" t="s">
        <v>57</v>
      </c>
      <c r="H129" t="s">
        <v>40</v>
      </c>
      <c r="I129" s="4">
        <v>1</v>
      </c>
      <c r="J129" s="4">
        <v>3</v>
      </c>
      <c r="K129" t="s">
        <v>44</v>
      </c>
      <c r="L129" s="4">
        <v>2025</v>
      </c>
      <c r="M129" s="5">
        <v>109855737</v>
      </c>
      <c r="N129" s="5">
        <v>107274027</v>
      </c>
      <c r="O129" s="5"/>
      <c r="P129" t="s">
        <v>45</v>
      </c>
      <c r="Q129" t="s">
        <v>45</v>
      </c>
    </row>
    <row r="130" spans="1:17" x14ac:dyDescent="0.45">
      <c r="A130" s="4">
        <v>5</v>
      </c>
      <c r="B130" t="s">
        <v>30</v>
      </c>
      <c r="C130" s="4">
        <v>30</v>
      </c>
      <c r="D130" t="s">
        <v>64</v>
      </c>
      <c r="E130" t="s">
        <v>58</v>
      </c>
      <c r="F130" t="s">
        <v>59</v>
      </c>
      <c r="G130" t="s">
        <v>57</v>
      </c>
      <c r="H130" t="s">
        <v>40</v>
      </c>
      <c r="I130" s="4">
        <v>1</v>
      </c>
      <c r="J130" s="4">
        <v>18</v>
      </c>
      <c r="K130" t="s">
        <v>66</v>
      </c>
      <c r="L130" s="4">
        <v>2024</v>
      </c>
      <c r="M130" s="5">
        <v>3381000</v>
      </c>
      <c r="N130" s="5">
        <v>3150347</v>
      </c>
      <c r="O130" s="5">
        <v>190741262414.70001</v>
      </c>
      <c r="P130" t="s">
        <v>37</v>
      </c>
      <c r="Q130" t="s">
        <v>45</v>
      </c>
    </row>
    <row r="131" spans="1:17" x14ac:dyDescent="0.45">
      <c r="A131" s="4">
        <v>5</v>
      </c>
      <c r="B131" t="s">
        <v>30</v>
      </c>
      <c r="C131" s="4">
        <v>30</v>
      </c>
      <c r="D131" t="s">
        <v>64</v>
      </c>
      <c r="E131" t="s">
        <v>55</v>
      </c>
      <c r="F131" t="s">
        <v>56</v>
      </c>
      <c r="G131" t="s">
        <v>57</v>
      </c>
      <c r="H131" t="s">
        <v>35</v>
      </c>
      <c r="I131" s="4">
        <v>2</v>
      </c>
      <c r="J131" s="4">
        <v>1</v>
      </c>
      <c r="K131" t="s">
        <v>65</v>
      </c>
      <c r="L131" s="4">
        <v>2022</v>
      </c>
      <c r="M131" s="5">
        <v>3196000</v>
      </c>
      <c r="N131" s="5">
        <v>3196000</v>
      </c>
      <c r="O131" s="5">
        <v>24984568959.599998</v>
      </c>
      <c r="P131" t="s">
        <v>37</v>
      </c>
      <c r="Q131" t="s">
        <v>45</v>
      </c>
    </row>
    <row r="132" spans="1:17" x14ac:dyDescent="0.45">
      <c r="A132" s="4">
        <v>5</v>
      </c>
      <c r="B132" t="s">
        <v>30</v>
      </c>
      <c r="C132" s="4">
        <v>30</v>
      </c>
      <c r="D132" t="s">
        <v>64</v>
      </c>
      <c r="E132" t="s">
        <v>58</v>
      </c>
      <c r="F132" t="s">
        <v>59</v>
      </c>
      <c r="G132" t="s">
        <v>57</v>
      </c>
      <c r="H132" t="s">
        <v>40</v>
      </c>
      <c r="I132" s="4">
        <v>1</v>
      </c>
      <c r="J132" s="4">
        <v>18</v>
      </c>
      <c r="K132" t="s">
        <v>66</v>
      </c>
      <c r="L132" s="4">
        <v>2023</v>
      </c>
      <c r="M132" s="5">
        <v>3381000</v>
      </c>
      <c r="N132" s="5">
        <v>3224792</v>
      </c>
      <c r="O132" s="5">
        <v>181221517868.70001</v>
      </c>
      <c r="P132" t="s">
        <v>37</v>
      </c>
      <c r="Q132" t="s">
        <v>45</v>
      </c>
    </row>
    <row r="133" spans="1:17" x14ac:dyDescent="0.45">
      <c r="A133" s="4">
        <v>5</v>
      </c>
      <c r="B133" t="s">
        <v>30</v>
      </c>
      <c r="C133" s="4">
        <v>30</v>
      </c>
      <c r="D133" t="s">
        <v>64</v>
      </c>
      <c r="E133" t="s">
        <v>55</v>
      </c>
      <c r="F133" t="s">
        <v>56</v>
      </c>
      <c r="G133" t="s">
        <v>57</v>
      </c>
      <c r="H133" t="s">
        <v>35</v>
      </c>
      <c r="I133" s="4">
        <v>2</v>
      </c>
      <c r="J133" s="4">
        <v>18</v>
      </c>
      <c r="K133" t="s">
        <v>66</v>
      </c>
      <c r="L133" s="4">
        <v>2022</v>
      </c>
      <c r="M133" s="5">
        <v>3256000</v>
      </c>
      <c r="N133" s="5">
        <v>3256000</v>
      </c>
      <c r="O133" s="5">
        <v>24984568959.599998</v>
      </c>
      <c r="P133" t="s">
        <v>37</v>
      </c>
      <c r="Q133" t="s">
        <v>45</v>
      </c>
    </row>
    <row r="134" spans="1:17" x14ac:dyDescent="0.45">
      <c r="A134" s="4">
        <v>5</v>
      </c>
      <c r="B134" t="s">
        <v>30</v>
      </c>
      <c r="C134" s="4">
        <v>30</v>
      </c>
      <c r="D134" t="s">
        <v>64</v>
      </c>
      <c r="E134" t="s">
        <v>58</v>
      </c>
      <c r="F134" t="s">
        <v>59</v>
      </c>
      <c r="G134" t="s">
        <v>57</v>
      </c>
      <c r="H134" t="s">
        <v>40</v>
      </c>
      <c r="I134" s="4">
        <v>1</v>
      </c>
      <c r="J134" s="4">
        <v>18</v>
      </c>
      <c r="K134" t="s">
        <v>66</v>
      </c>
      <c r="L134" s="4">
        <v>2022</v>
      </c>
      <c r="M134" s="5">
        <v>3381000</v>
      </c>
      <c r="N134" s="5">
        <v>3381000</v>
      </c>
      <c r="O134" s="5">
        <v>161989520721.20001</v>
      </c>
      <c r="P134" t="s">
        <v>37</v>
      </c>
      <c r="Q134" t="s">
        <v>45</v>
      </c>
    </row>
    <row r="135" spans="1:17" x14ac:dyDescent="0.45">
      <c r="A135" s="4">
        <v>5</v>
      </c>
      <c r="B135" t="s">
        <v>30</v>
      </c>
      <c r="C135" s="4">
        <v>30</v>
      </c>
      <c r="D135" t="s">
        <v>64</v>
      </c>
      <c r="E135" t="s">
        <v>58</v>
      </c>
      <c r="F135" t="s">
        <v>59</v>
      </c>
      <c r="G135" t="s">
        <v>57</v>
      </c>
      <c r="H135" t="s">
        <v>40</v>
      </c>
      <c r="I135" s="4">
        <v>1</v>
      </c>
      <c r="J135" s="4">
        <v>3</v>
      </c>
      <c r="K135" t="s">
        <v>44</v>
      </c>
      <c r="L135" s="4">
        <v>2023</v>
      </c>
      <c r="M135" s="5">
        <v>43765334</v>
      </c>
      <c r="N135" s="5">
        <v>44837245</v>
      </c>
      <c r="O135" s="5">
        <v>181221517868.70001</v>
      </c>
      <c r="P135" t="s">
        <v>37</v>
      </c>
      <c r="Q135" t="s">
        <v>45</v>
      </c>
    </row>
    <row r="136" spans="1:17" x14ac:dyDescent="0.45">
      <c r="A136" s="4">
        <v>5</v>
      </c>
      <c r="B136" t="s">
        <v>30</v>
      </c>
      <c r="C136" s="4">
        <v>30</v>
      </c>
      <c r="D136" t="s">
        <v>64</v>
      </c>
      <c r="E136" t="s">
        <v>32</v>
      </c>
      <c r="F136" t="s">
        <v>33</v>
      </c>
      <c r="G136" t="s">
        <v>34</v>
      </c>
      <c r="H136" t="s">
        <v>35</v>
      </c>
      <c r="I136" s="4">
        <v>2</v>
      </c>
      <c r="J136" s="4">
        <v>2</v>
      </c>
      <c r="K136" t="s">
        <v>36</v>
      </c>
      <c r="L136" s="4">
        <v>2023</v>
      </c>
      <c r="M136" s="5">
        <v>3508334</v>
      </c>
      <c r="N136" s="5">
        <v>3594259</v>
      </c>
      <c r="O136" s="5">
        <v>437415333018.29999</v>
      </c>
      <c r="P136" t="s">
        <v>37</v>
      </c>
      <c r="Q136" t="s">
        <v>45</v>
      </c>
    </row>
    <row r="137" spans="1:17" x14ac:dyDescent="0.45">
      <c r="A137" s="4">
        <v>5</v>
      </c>
      <c r="B137" t="s">
        <v>30</v>
      </c>
      <c r="C137" s="4">
        <v>30</v>
      </c>
      <c r="D137" t="s">
        <v>64</v>
      </c>
      <c r="E137" t="s">
        <v>58</v>
      </c>
      <c r="F137" t="s">
        <v>59</v>
      </c>
      <c r="G137" t="s">
        <v>57</v>
      </c>
      <c r="H137" t="s">
        <v>40</v>
      </c>
      <c r="I137" s="4">
        <v>1</v>
      </c>
      <c r="J137" s="4">
        <v>3</v>
      </c>
      <c r="K137" t="s">
        <v>44</v>
      </c>
      <c r="L137" s="4">
        <v>2022</v>
      </c>
      <c r="M137" s="5">
        <v>41740544</v>
      </c>
      <c r="N137" s="5">
        <v>44711282</v>
      </c>
      <c r="O137" s="5">
        <v>161989520721.20001</v>
      </c>
      <c r="P137" t="s">
        <v>37</v>
      </c>
      <c r="Q137" t="s">
        <v>45</v>
      </c>
    </row>
    <row r="138" spans="1:17" x14ac:dyDescent="0.45">
      <c r="A138" s="4">
        <v>5</v>
      </c>
      <c r="B138" t="s">
        <v>30</v>
      </c>
      <c r="C138" s="4">
        <v>30</v>
      </c>
      <c r="D138" t="s">
        <v>64</v>
      </c>
      <c r="E138" t="s">
        <v>46</v>
      </c>
      <c r="F138" t="s">
        <v>47</v>
      </c>
      <c r="G138" t="s">
        <v>48</v>
      </c>
      <c r="H138" t="s">
        <v>40</v>
      </c>
      <c r="I138" s="4">
        <v>1</v>
      </c>
      <c r="J138" s="4">
        <v>1</v>
      </c>
      <c r="K138" t="s">
        <v>65</v>
      </c>
      <c r="L138" s="4">
        <v>2022</v>
      </c>
      <c r="M138" s="5">
        <v>3650000</v>
      </c>
      <c r="N138" s="5">
        <v>3650000</v>
      </c>
      <c r="O138" s="5">
        <v>476747720364.70001</v>
      </c>
      <c r="P138" t="s">
        <v>37</v>
      </c>
      <c r="Q138" t="s">
        <v>45</v>
      </c>
    </row>
    <row r="139" spans="1:17" x14ac:dyDescent="0.45">
      <c r="A139" s="4">
        <v>5</v>
      </c>
      <c r="B139" t="s">
        <v>30</v>
      </c>
      <c r="C139" s="4">
        <v>30</v>
      </c>
      <c r="D139" t="s">
        <v>64</v>
      </c>
      <c r="E139" t="s">
        <v>32</v>
      </c>
      <c r="F139" t="s">
        <v>33</v>
      </c>
      <c r="G139" t="s">
        <v>34</v>
      </c>
      <c r="H139" t="s">
        <v>35</v>
      </c>
      <c r="I139" s="4">
        <v>2</v>
      </c>
      <c r="J139" s="4">
        <v>2</v>
      </c>
      <c r="K139" t="s">
        <v>36</v>
      </c>
      <c r="L139" s="4">
        <v>2022</v>
      </c>
      <c r="M139" s="5">
        <v>3489149</v>
      </c>
      <c r="N139" s="5">
        <v>3737478</v>
      </c>
      <c r="O139" s="5">
        <v>462131689083.09998</v>
      </c>
      <c r="P139" t="s">
        <v>37</v>
      </c>
      <c r="Q139" t="s">
        <v>45</v>
      </c>
    </row>
    <row r="140" spans="1:17" x14ac:dyDescent="0.45">
      <c r="A140" s="4">
        <v>5</v>
      </c>
      <c r="B140" t="s">
        <v>30</v>
      </c>
      <c r="C140" s="4">
        <v>30</v>
      </c>
      <c r="D140" t="s">
        <v>64</v>
      </c>
      <c r="E140" t="s">
        <v>32</v>
      </c>
      <c r="F140" t="s">
        <v>33</v>
      </c>
      <c r="G140" t="s">
        <v>34</v>
      </c>
      <c r="H140" t="s">
        <v>35</v>
      </c>
      <c r="I140" s="4">
        <v>2</v>
      </c>
      <c r="J140" s="4">
        <v>1</v>
      </c>
      <c r="K140" t="s">
        <v>65</v>
      </c>
      <c r="L140" s="4">
        <v>2021</v>
      </c>
      <c r="M140" s="5">
        <v>3500000</v>
      </c>
      <c r="N140" s="5">
        <v>3742507</v>
      </c>
      <c r="O140" s="5">
        <v>416271647910</v>
      </c>
      <c r="P140" t="s">
        <v>37</v>
      </c>
      <c r="Q140" t="s">
        <v>45</v>
      </c>
    </row>
    <row r="141" spans="1:17" x14ac:dyDescent="0.45">
      <c r="A141" s="4">
        <v>5</v>
      </c>
      <c r="B141" t="s">
        <v>30</v>
      </c>
      <c r="C141" s="4">
        <v>30</v>
      </c>
      <c r="D141" t="s">
        <v>64</v>
      </c>
      <c r="E141" t="s">
        <v>41</v>
      </c>
      <c r="F141" t="s">
        <v>42</v>
      </c>
      <c r="G141" t="s">
        <v>43</v>
      </c>
      <c r="H141" t="s">
        <v>40</v>
      </c>
      <c r="I141" s="4">
        <v>1</v>
      </c>
      <c r="J141" s="4">
        <v>2</v>
      </c>
      <c r="K141" t="s">
        <v>36</v>
      </c>
      <c r="L141" s="4">
        <v>2024</v>
      </c>
      <c r="M141" s="5">
        <v>3872819</v>
      </c>
      <c r="N141" s="5">
        <v>3872819</v>
      </c>
      <c r="O141" s="5">
        <v>418818154879.29999</v>
      </c>
      <c r="P141" t="s">
        <v>37</v>
      </c>
      <c r="Q141" t="s">
        <v>45</v>
      </c>
    </row>
    <row r="142" spans="1:17" x14ac:dyDescent="0.45">
      <c r="A142" s="4">
        <v>5</v>
      </c>
      <c r="B142" t="s">
        <v>30</v>
      </c>
      <c r="C142" s="4">
        <v>30</v>
      </c>
      <c r="D142" t="s">
        <v>64</v>
      </c>
      <c r="E142" t="s">
        <v>58</v>
      </c>
      <c r="F142" t="s">
        <v>59</v>
      </c>
      <c r="G142" t="s">
        <v>57</v>
      </c>
      <c r="H142" t="s">
        <v>40</v>
      </c>
      <c r="I142" s="4">
        <v>1</v>
      </c>
      <c r="J142" s="4">
        <v>3</v>
      </c>
      <c r="K142" t="s">
        <v>44</v>
      </c>
      <c r="L142" s="4">
        <v>2021</v>
      </c>
      <c r="M142" s="5">
        <v>29315603</v>
      </c>
      <c r="N142" s="5">
        <v>33622219</v>
      </c>
      <c r="O142" s="5">
        <v>199765859570.89999</v>
      </c>
      <c r="P142" t="s">
        <v>37</v>
      </c>
      <c r="Q142" t="s">
        <v>45</v>
      </c>
    </row>
    <row r="143" spans="1:17" x14ac:dyDescent="0.45">
      <c r="A143" s="4">
        <v>5</v>
      </c>
      <c r="B143" t="s">
        <v>30</v>
      </c>
      <c r="C143" s="4">
        <v>30</v>
      </c>
      <c r="D143" t="s">
        <v>64</v>
      </c>
      <c r="E143" t="s">
        <v>58</v>
      </c>
      <c r="F143" t="s">
        <v>59</v>
      </c>
      <c r="G143" t="s">
        <v>57</v>
      </c>
      <c r="H143" t="s">
        <v>40</v>
      </c>
      <c r="I143" s="4">
        <v>1</v>
      </c>
      <c r="J143" s="4">
        <v>1</v>
      </c>
      <c r="K143" t="s">
        <v>65</v>
      </c>
      <c r="L143" s="4">
        <v>2021</v>
      </c>
      <c r="M143" s="5">
        <v>3850000</v>
      </c>
      <c r="N143" s="5">
        <v>4116757</v>
      </c>
      <c r="O143" s="5">
        <v>199765859570.89999</v>
      </c>
      <c r="P143" t="s">
        <v>37</v>
      </c>
      <c r="Q143" t="s">
        <v>45</v>
      </c>
    </row>
    <row r="144" spans="1:17" x14ac:dyDescent="0.45">
      <c r="A144" s="4">
        <v>5</v>
      </c>
      <c r="B144" t="s">
        <v>30</v>
      </c>
      <c r="C144" s="4">
        <v>30</v>
      </c>
      <c r="D144" t="s">
        <v>64</v>
      </c>
      <c r="E144" t="s">
        <v>32</v>
      </c>
      <c r="F144" t="s">
        <v>33</v>
      </c>
      <c r="G144" t="s">
        <v>34</v>
      </c>
      <c r="H144" t="s">
        <v>35</v>
      </c>
      <c r="I144" s="4">
        <v>2</v>
      </c>
      <c r="J144" s="4">
        <v>18</v>
      </c>
      <c r="K144" t="s">
        <v>66</v>
      </c>
      <c r="L144" s="4">
        <v>2024</v>
      </c>
      <c r="M144" s="5">
        <v>4455000</v>
      </c>
      <c r="N144" s="5">
        <v>4151078</v>
      </c>
      <c r="O144" s="5">
        <v>450119432068.90002</v>
      </c>
      <c r="P144" t="s">
        <v>37</v>
      </c>
      <c r="Q144" t="s">
        <v>45</v>
      </c>
    </row>
    <row r="145" spans="1:17" x14ac:dyDescent="0.45">
      <c r="A145" s="4">
        <v>5</v>
      </c>
      <c r="B145" t="s">
        <v>30</v>
      </c>
      <c r="C145" s="4">
        <v>30</v>
      </c>
      <c r="D145" t="s">
        <v>64</v>
      </c>
      <c r="E145" t="s">
        <v>55</v>
      </c>
      <c r="F145" t="s">
        <v>56</v>
      </c>
      <c r="G145" t="s">
        <v>57</v>
      </c>
      <c r="H145" t="s">
        <v>35</v>
      </c>
      <c r="I145" s="4">
        <v>2</v>
      </c>
      <c r="J145" s="4">
        <v>18</v>
      </c>
      <c r="K145" t="s">
        <v>66</v>
      </c>
      <c r="L145" s="4">
        <v>2024</v>
      </c>
      <c r="M145" s="5">
        <v>4485000</v>
      </c>
      <c r="N145" s="5">
        <v>4179031</v>
      </c>
      <c r="O145" s="5">
        <v>34189423545</v>
      </c>
      <c r="P145" t="s">
        <v>37</v>
      </c>
      <c r="Q145" t="s">
        <v>45</v>
      </c>
    </row>
    <row r="146" spans="1:17" x14ac:dyDescent="0.45">
      <c r="A146" s="4">
        <v>5</v>
      </c>
      <c r="B146" t="s">
        <v>30</v>
      </c>
      <c r="C146" s="4">
        <v>30</v>
      </c>
      <c r="D146" t="s">
        <v>64</v>
      </c>
      <c r="E146" t="s">
        <v>55</v>
      </c>
      <c r="F146" t="s">
        <v>56</v>
      </c>
      <c r="G146" t="s">
        <v>57</v>
      </c>
      <c r="H146" t="s">
        <v>35</v>
      </c>
      <c r="I146" s="4">
        <v>2</v>
      </c>
      <c r="J146" s="4">
        <v>1</v>
      </c>
      <c r="K146" t="s">
        <v>65</v>
      </c>
      <c r="L146" s="4">
        <v>2021</v>
      </c>
      <c r="M146" s="5">
        <v>3990000</v>
      </c>
      <c r="N146" s="5">
        <v>4266458</v>
      </c>
      <c r="O146" s="5">
        <v>18853115588.799999</v>
      </c>
      <c r="P146" t="s">
        <v>37</v>
      </c>
      <c r="Q146" t="s">
        <v>45</v>
      </c>
    </row>
    <row r="147" spans="1:17" x14ac:dyDescent="0.45">
      <c r="A147" s="4">
        <v>5</v>
      </c>
      <c r="B147" t="s">
        <v>30</v>
      </c>
      <c r="C147" s="4">
        <v>30</v>
      </c>
      <c r="D147" t="s">
        <v>64</v>
      </c>
      <c r="E147" t="s">
        <v>55</v>
      </c>
      <c r="F147" t="s">
        <v>56</v>
      </c>
      <c r="G147" t="s">
        <v>57</v>
      </c>
      <c r="H147" t="s">
        <v>35</v>
      </c>
      <c r="I147" s="4">
        <v>2</v>
      </c>
      <c r="J147" s="4">
        <v>18</v>
      </c>
      <c r="K147" t="s">
        <v>66</v>
      </c>
      <c r="L147" s="4">
        <v>2023</v>
      </c>
      <c r="M147" s="5">
        <v>4485000</v>
      </c>
      <c r="N147" s="5">
        <v>4277786</v>
      </c>
      <c r="O147" s="5">
        <v>30777833600.700001</v>
      </c>
      <c r="P147" t="s">
        <v>37</v>
      </c>
      <c r="Q147" t="s">
        <v>45</v>
      </c>
    </row>
    <row r="148" spans="1:17" x14ac:dyDescent="0.45">
      <c r="A148" s="4">
        <v>5</v>
      </c>
      <c r="B148" t="s">
        <v>30</v>
      </c>
      <c r="C148" s="4">
        <v>30</v>
      </c>
      <c r="D148" t="s">
        <v>64</v>
      </c>
      <c r="E148" t="s">
        <v>32</v>
      </c>
      <c r="F148" t="s">
        <v>33</v>
      </c>
      <c r="G148" t="s">
        <v>34</v>
      </c>
      <c r="H148" t="s">
        <v>35</v>
      </c>
      <c r="I148" s="4">
        <v>2</v>
      </c>
      <c r="J148" s="4">
        <v>18</v>
      </c>
      <c r="K148" t="s">
        <v>66</v>
      </c>
      <c r="L148" s="4">
        <v>2022</v>
      </c>
      <c r="M148" s="5">
        <v>4500000</v>
      </c>
      <c r="N148" s="5">
        <v>4500000</v>
      </c>
      <c r="O148" s="5">
        <v>462131689083.09998</v>
      </c>
      <c r="P148" t="s">
        <v>37</v>
      </c>
      <c r="Q148" t="s">
        <v>45</v>
      </c>
    </row>
    <row r="149" spans="1:17" x14ac:dyDescent="0.45">
      <c r="A149" s="4">
        <v>5</v>
      </c>
      <c r="B149" t="s">
        <v>30</v>
      </c>
      <c r="C149" s="4">
        <v>30</v>
      </c>
      <c r="D149" t="s">
        <v>64</v>
      </c>
      <c r="E149" t="s">
        <v>38</v>
      </c>
      <c r="F149" t="s">
        <v>39</v>
      </c>
      <c r="G149" t="s">
        <v>34</v>
      </c>
      <c r="H149" t="s">
        <v>40</v>
      </c>
      <c r="I149" s="4">
        <v>1</v>
      </c>
      <c r="J149" s="4">
        <v>18</v>
      </c>
      <c r="K149" t="s">
        <v>66</v>
      </c>
      <c r="L149" s="4">
        <v>2021</v>
      </c>
      <c r="M149" s="5">
        <v>5000000</v>
      </c>
      <c r="N149" s="5">
        <v>5346438</v>
      </c>
      <c r="O149" s="5">
        <v>46296100140.800003</v>
      </c>
      <c r="P149" t="s">
        <v>37</v>
      </c>
      <c r="Q149" t="s">
        <v>45</v>
      </c>
    </row>
    <row r="150" spans="1:17" x14ac:dyDescent="0.45">
      <c r="A150" s="4">
        <v>5</v>
      </c>
      <c r="B150" t="s">
        <v>30</v>
      </c>
      <c r="C150" s="4">
        <v>30</v>
      </c>
      <c r="D150" t="s">
        <v>64</v>
      </c>
      <c r="E150" t="s">
        <v>38</v>
      </c>
      <c r="F150" t="s">
        <v>39</v>
      </c>
      <c r="G150" t="s">
        <v>34</v>
      </c>
      <c r="H150" t="s">
        <v>40</v>
      </c>
      <c r="I150" s="4">
        <v>1</v>
      </c>
      <c r="J150" s="4">
        <v>1</v>
      </c>
      <c r="K150" t="s">
        <v>65</v>
      </c>
      <c r="L150" s="4">
        <v>2021</v>
      </c>
      <c r="M150" s="5">
        <v>7250000</v>
      </c>
      <c r="N150" s="5">
        <v>7752335</v>
      </c>
      <c r="O150" s="5">
        <v>46296100140.800003</v>
      </c>
      <c r="P150" t="s">
        <v>37</v>
      </c>
      <c r="Q150" t="s">
        <v>45</v>
      </c>
    </row>
    <row r="151" spans="1:17" x14ac:dyDescent="0.45">
      <c r="A151" s="4">
        <v>5</v>
      </c>
      <c r="B151" t="s">
        <v>30</v>
      </c>
      <c r="C151" s="4">
        <v>30</v>
      </c>
      <c r="D151" t="s">
        <v>64</v>
      </c>
      <c r="E151" t="s">
        <v>46</v>
      </c>
      <c r="F151" t="s">
        <v>47</v>
      </c>
      <c r="G151" t="s">
        <v>48</v>
      </c>
      <c r="H151" t="s">
        <v>40</v>
      </c>
      <c r="I151" s="4">
        <v>1</v>
      </c>
      <c r="J151" s="4">
        <v>2</v>
      </c>
      <c r="K151" t="s">
        <v>36</v>
      </c>
      <c r="L151" s="4">
        <v>2025</v>
      </c>
      <c r="M151" s="5">
        <v>8189545</v>
      </c>
      <c r="N151" s="5">
        <v>7997084</v>
      </c>
      <c r="O151" s="5"/>
      <c r="P151" t="s">
        <v>45</v>
      </c>
      <c r="Q151" t="s">
        <v>45</v>
      </c>
    </row>
    <row r="152" spans="1:17" x14ac:dyDescent="0.45">
      <c r="A152" s="4">
        <v>5</v>
      </c>
      <c r="B152" t="s">
        <v>30</v>
      </c>
      <c r="C152" s="4">
        <v>30</v>
      </c>
      <c r="D152" t="s">
        <v>64</v>
      </c>
      <c r="E152" t="s">
        <v>38</v>
      </c>
      <c r="F152" t="s">
        <v>39</v>
      </c>
      <c r="G152" t="s">
        <v>34</v>
      </c>
      <c r="H152" t="s">
        <v>40</v>
      </c>
      <c r="I152" s="4">
        <v>1</v>
      </c>
      <c r="J152" s="4">
        <v>18</v>
      </c>
      <c r="K152" t="s">
        <v>66</v>
      </c>
      <c r="L152" s="4">
        <v>2024</v>
      </c>
      <c r="M152" s="5">
        <v>9000000</v>
      </c>
      <c r="N152" s="5">
        <v>8386016</v>
      </c>
      <c r="O152" s="5">
        <v>53352289577.5</v>
      </c>
      <c r="P152" t="s">
        <v>37</v>
      </c>
      <c r="Q152" t="s">
        <v>45</v>
      </c>
    </row>
    <row r="153" spans="1:17" x14ac:dyDescent="0.45">
      <c r="A153" s="4">
        <v>5</v>
      </c>
      <c r="B153" t="s">
        <v>30</v>
      </c>
      <c r="C153" s="4">
        <v>30</v>
      </c>
      <c r="D153" t="s">
        <v>64</v>
      </c>
      <c r="E153" t="s">
        <v>32</v>
      </c>
      <c r="F153" t="s">
        <v>33</v>
      </c>
      <c r="G153" t="s">
        <v>34</v>
      </c>
      <c r="H153" t="s">
        <v>35</v>
      </c>
      <c r="I153" s="4">
        <v>2</v>
      </c>
      <c r="J153" s="4">
        <v>2</v>
      </c>
      <c r="K153" t="s">
        <v>36</v>
      </c>
      <c r="L153" s="4">
        <v>2024</v>
      </c>
      <c r="M153" s="5">
        <v>10140059</v>
      </c>
      <c r="N153" s="5">
        <v>10140059</v>
      </c>
      <c r="O153" s="5">
        <v>450119432068.90002</v>
      </c>
      <c r="P153" t="s">
        <v>37</v>
      </c>
      <c r="Q153" t="s">
        <v>45</v>
      </c>
    </row>
    <row r="154" spans="1:17" x14ac:dyDescent="0.45">
      <c r="A154" s="4">
        <v>5</v>
      </c>
      <c r="B154" t="s">
        <v>30</v>
      </c>
      <c r="C154" s="4">
        <v>30</v>
      </c>
      <c r="D154" t="s">
        <v>64</v>
      </c>
      <c r="E154" t="s">
        <v>46</v>
      </c>
      <c r="F154" t="s">
        <v>47</v>
      </c>
      <c r="G154" t="s">
        <v>48</v>
      </c>
      <c r="H154" t="s">
        <v>40</v>
      </c>
      <c r="I154" s="4">
        <v>1</v>
      </c>
      <c r="J154" s="4">
        <v>2</v>
      </c>
      <c r="K154" t="s">
        <v>36</v>
      </c>
      <c r="L154" s="4">
        <v>2022</v>
      </c>
      <c r="M154" s="5">
        <v>10077107</v>
      </c>
      <c r="N154" s="5">
        <v>10794311</v>
      </c>
      <c r="O154" s="5">
        <v>476747720364.70001</v>
      </c>
      <c r="P154" t="s">
        <v>37</v>
      </c>
      <c r="Q154" t="s">
        <v>45</v>
      </c>
    </row>
    <row r="155" spans="1:17" x14ac:dyDescent="0.45">
      <c r="A155" s="4">
        <v>5</v>
      </c>
      <c r="B155" t="s">
        <v>30</v>
      </c>
      <c r="C155" s="4">
        <v>30</v>
      </c>
      <c r="D155" t="s">
        <v>64</v>
      </c>
      <c r="E155" t="s">
        <v>46</v>
      </c>
      <c r="F155" t="s">
        <v>47</v>
      </c>
      <c r="G155" t="s">
        <v>48</v>
      </c>
      <c r="H155" t="s">
        <v>40</v>
      </c>
      <c r="I155" s="4">
        <v>1</v>
      </c>
      <c r="J155" s="4">
        <v>18</v>
      </c>
      <c r="K155" t="s">
        <v>66</v>
      </c>
      <c r="L155" s="4">
        <v>2021</v>
      </c>
      <c r="M155" s="5">
        <v>10400000</v>
      </c>
      <c r="N155" s="5">
        <v>11120591</v>
      </c>
      <c r="O155" s="5">
        <v>424671765455.70001</v>
      </c>
      <c r="P155" t="s">
        <v>37</v>
      </c>
      <c r="Q155" t="s">
        <v>45</v>
      </c>
    </row>
    <row r="156" spans="1:17" x14ac:dyDescent="0.45">
      <c r="A156" s="4">
        <v>5</v>
      </c>
      <c r="B156" t="s">
        <v>30</v>
      </c>
      <c r="C156" s="4">
        <v>30</v>
      </c>
      <c r="D156" t="s">
        <v>64</v>
      </c>
      <c r="E156" t="s">
        <v>46</v>
      </c>
      <c r="F156" t="s">
        <v>47</v>
      </c>
      <c r="G156" t="s">
        <v>48</v>
      </c>
      <c r="H156" t="s">
        <v>40</v>
      </c>
      <c r="I156" s="4">
        <v>1</v>
      </c>
      <c r="J156" s="4">
        <v>18</v>
      </c>
      <c r="K156" t="s">
        <v>66</v>
      </c>
      <c r="L156" s="4">
        <v>2024</v>
      </c>
      <c r="M156" s="5">
        <v>12000000</v>
      </c>
      <c r="N156" s="5">
        <v>11181354</v>
      </c>
      <c r="O156" s="5">
        <v>389059911003.59998</v>
      </c>
      <c r="P156" t="s">
        <v>37</v>
      </c>
      <c r="Q156" t="s">
        <v>45</v>
      </c>
    </row>
    <row r="157" spans="1:17" x14ac:dyDescent="0.45">
      <c r="A157" s="4">
        <v>5</v>
      </c>
      <c r="B157" t="s">
        <v>30</v>
      </c>
      <c r="C157" s="4">
        <v>30</v>
      </c>
      <c r="D157" t="s">
        <v>64</v>
      </c>
      <c r="E157" t="s">
        <v>46</v>
      </c>
      <c r="F157" t="s">
        <v>47</v>
      </c>
      <c r="G157" t="s">
        <v>48</v>
      </c>
      <c r="H157" t="s">
        <v>40</v>
      </c>
      <c r="I157" s="4">
        <v>1</v>
      </c>
      <c r="J157" s="4">
        <v>2</v>
      </c>
      <c r="K157" t="s">
        <v>36</v>
      </c>
      <c r="L157" s="4">
        <v>2024</v>
      </c>
      <c r="M157" s="5">
        <v>13592393</v>
      </c>
      <c r="N157" s="5">
        <v>13592393</v>
      </c>
      <c r="O157" s="5">
        <v>389059911003.59998</v>
      </c>
      <c r="P157" t="s">
        <v>37</v>
      </c>
      <c r="Q157" t="s">
        <v>45</v>
      </c>
    </row>
    <row r="158" spans="1:17" x14ac:dyDescent="0.45">
      <c r="A158" s="4">
        <v>5</v>
      </c>
      <c r="B158" t="s">
        <v>30</v>
      </c>
      <c r="C158" s="4">
        <v>30</v>
      </c>
      <c r="D158" t="s">
        <v>64</v>
      </c>
      <c r="E158" t="s">
        <v>46</v>
      </c>
      <c r="F158" t="s">
        <v>47</v>
      </c>
      <c r="G158" t="s">
        <v>48</v>
      </c>
      <c r="H158" t="s">
        <v>40</v>
      </c>
      <c r="I158" s="4">
        <v>1</v>
      </c>
      <c r="J158" s="4">
        <v>18</v>
      </c>
      <c r="K158" t="s">
        <v>66</v>
      </c>
      <c r="L158" s="4">
        <v>2022</v>
      </c>
      <c r="M158" s="5">
        <v>14000000</v>
      </c>
      <c r="N158" s="5">
        <v>14000000</v>
      </c>
      <c r="O158" s="5">
        <v>476747720364.70001</v>
      </c>
      <c r="P158" t="s">
        <v>37</v>
      </c>
      <c r="Q158" t="s">
        <v>45</v>
      </c>
    </row>
    <row r="159" spans="1:17" x14ac:dyDescent="0.45">
      <c r="A159" s="4">
        <v>5</v>
      </c>
      <c r="B159" t="s">
        <v>30</v>
      </c>
      <c r="C159" s="4">
        <v>30</v>
      </c>
      <c r="D159" t="s">
        <v>64</v>
      </c>
      <c r="E159" t="s">
        <v>46</v>
      </c>
      <c r="F159" t="s">
        <v>47</v>
      </c>
      <c r="G159" t="s">
        <v>48</v>
      </c>
      <c r="H159" t="s">
        <v>40</v>
      </c>
      <c r="I159" s="4">
        <v>1</v>
      </c>
      <c r="J159" s="4">
        <v>18</v>
      </c>
      <c r="K159" t="s">
        <v>66</v>
      </c>
      <c r="L159" s="4">
        <v>2023</v>
      </c>
      <c r="M159" s="5">
        <v>16500000</v>
      </c>
      <c r="N159" s="5">
        <v>15737673</v>
      </c>
      <c r="O159" s="5">
        <v>395926075163</v>
      </c>
      <c r="P159" t="s">
        <v>37</v>
      </c>
      <c r="Q159" t="s">
        <v>45</v>
      </c>
    </row>
    <row r="160" spans="1:17" x14ac:dyDescent="0.45">
      <c r="A160" s="4">
        <v>5</v>
      </c>
      <c r="B160" t="s">
        <v>30</v>
      </c>
      <c r="C160" s="4">
        <v>30</v>
      </c>
      <c r="D160" t="s">
        <v>64</v>
      </c>
      <c r="E160" t="s">
        <v>55</v>
      </c>
      <c r="F160" t="s">
        <v>56</v>
      </c>
      <c r="G160" t="s">
        <v>57</v>
      </c>
      <c r="H160" t="s">
        <v>35</v>
      </c>
      <c r="I160" s="4">
        <v>2</v>
      </c>
      <c r="J160" s="4">
        <v>2</v>
      </c>
      <c r="K160" t="s">
        <v>36</v>
      </c>
      <c r="L160" s="4">
        <v>2021</v>
      </c>
      <c r="M160" s="5">
        <v>14265823</v>
      </c>
      <c r="N160" s="5">
        <v>16361546</v>
      </c>
      <c r="O160" s="5">
        <v>18853115588.799999</v>
      </c>
      <c r="P160" t="s">
        <v>37</v>
      </c>
      <c r="Q160" t="s">
        <v>45</v>
      </c>
    </row>
    <row r="161" spans="1:17" x14ac:dyDescent="0.45">
      <c r="A161" s="4">
        <v>5</v>
      </c>
      <c r="B161" t="s">
        <v>30</v>
      </c>
      <c r="C161" s="4">
        <v>30</v>
      </c>
      <c r="D161" t="s">
        <v>64</v>
      </c>
      <c r="E161" t="s">
        <v>55</v>
      </c>
      <c r="F161" t="s">
        <v>56</v>
      </c>
      <c r="G161" t="s">
        <v>57</v>
      </c>
      <c r="H161" t="s">
        <v>35</v>
      </c>
      <c r="I161" s="4">
        <v>2</v>
      </c>
      <c r="J161" s="4">
        <v>2</v>
      </c>
      <c r="K161" t="s">
        <v>36</v>
      </c>
      <c r="L161" s="4">
        <v>2022</v>
      </c>
      <c r="M161" s="5">
        <v>17439986</v>
      </c>
      <c r="N161" s="5">
        <v>18681218</v>
      </c>
      <c r="O161" s="5">
        <v>24984568959.599998</v>
      </c>
      <c r="P161" t="s">
        <v>37</v>
      </c>
      <c r="Q161" t="s">
        <v>45</v>
      </c>
    </row>
    <row r="162" spans="1:17" x14ac:dyDescent="0.45">
      <c r="A162" s="4">
        <v>5</v>
      </c>
      <c r="B162" t="s">
        <v>30</v>
      </c>
      <c r="C162" s="4">
        <v>30</v>
      </c>
      <c r="D162" t="s">
        <v>64</v>
      </c>
      <c r="E162" t="s">
        <v>58</v>
      </c>
      <c r="F162" t="s">
        <v>59</v>
      </c>
      <c r="G162" t="s">
        <v>57</v>
      </c>
      <c r="H162" t="s">
        <v>40</v>
      </c>
      <c r="I162" s="4">
        <v>1</v>
      </c>
      <c r="J162" s="4">
        <v>2</v>
      </c>
      <c r="K162" t="s">
        <v>36</v>
      </c>
      <c r="L162" s="4">
        <v>2022</v>
      </c>
      <c r="M162" s="5">
        <v>19001431</v>
      </c>
      <c r="N162" s="5">
        <v>20353794</v>
      </c>
      <c r="O162" s="5">
        <v>161989520721.20001</v>
      </c>
      <c r="P162" t="s">
        <v>37</v>
      </c>
      <c r="Q162" t="s">
        <v>45</v>
      </c>
    </row>
    <row r="163" spans="1:17" x14ac:dyDescent="0.45">
      <c r="A163" s="4">
        <v>5</v>
      </c>
      <c r="B163" t="s">
        <v>30</v>
      </c>
      <c r="C163" s="4">
        <v>30</v>
      </c>
      <c r="D163" t="s">
        <v>64</v>
      </c>
      <c r="E163" t="s">
        <v>38</v>
      </c>
      <c r="F163" t="s">
        <v>39</v>
      </c>
      <c r="G163" t="s">
        <v>34</v>
      </c>
      <c r="H163" t="s">
        <v>40</v>
      </c>
      <c r="I163" s="4">
        <v>1</v>
      </c>
      <c r="J163" s="4">
        <v>2</v>
      </c>
      <c r="K163" t="s">
        <v>36</v>
      </c>
      <c r="L163" s="4">
        <v>2023</v>
      </c>
      <c r="M163" s="5">
        <v>21579709</v>
      </c>
      <c r="N163" s="5">
        <v>22108242</v>
      </c>
      <c r="O163" s="5">
        <v>51088476388</v>
      </c>
      <c r="P163" t="s">
        <v>37</v>
      </c>
      <c r="Q163" t="s">
        <v>45</v>
      </c>
    </row>
    <row r="164" spans="1:17" x14ac:dyDescent="0.45">
      <c r="A164" s="4">
        <v>5</v>
      </c>
      <c r="B164" t="s">
        <v>30</v>
      </c>
      <c r="C164" s="4">
        <v>30</v>
      </c>
      <c r="D164" t="s">
        <v>64</v>
      </c>
      <c r="E164" t="s">
        <v>46</v>
      </c>
      <c r="F164" t="s">
        <v>47</v>
      </c>
      <c r="G164" t="s">
        <v>48</v>
      </c>
      <c r="H164" t="s">
        <v>40</v>
      </c>
      <c r="I164" s="4">
        <v>1</v>
      </c>
      <c r="J164" s="4">
        <v>2</v>
      </c>
      <c r="K164" t="s">
        <v>36</v>
      </c>
      <c r="L164" s="4">
        <v>2023</v>
      </c>
      <c r="M164" s="5">
        <v>24211838</v>
      </c>
      <c r="N164" s="5">
        <v>24804837</v>
      </c>
      <c r="O164" s="5">
        <v>395926075163</v>
      </c>
      <c r="P164" t="s">
        <v>37</v>
      </c>
      <c r="Q164" t="s">
        <v>45</v>
      </c>
    </row>
    <row r="165" spans="1:17" x14ac:dyDescent="0.45">
      <c r="A165" s="4">
        <v>5</v>
      </c>
      <c r="B165" t="s">
        <v>30</v>
      </c>
      <c r="C165" s="4">
        <v>30</v>
      </c>
      <c r="D165" t="s">
        <v>64</v>
      </c>
      <c r="E165" t="s">
        <v>55</v>
      </c>
      <c r="F165" t="s">
        <v>56</v>
      </c>
      <c r="G165" t="s">
        <v>57</v>
      </c>
      <c r="H165" t="s">
        <v>35</v>
      </c>
      <c r="I165" s="4">
        <v>2</v>
      </c>
      <c r="J165" s="4">
        <v>2</v>
      </c>
      <c r="K165" t="s">
        <v>36</v>
      </c>
      <c r="L165" s="4">
        <v>2023</v>
      </c>
      <c r="M165" s="5">
        <v>25937257</v>
      </c>
      <c r="N165" s="5">
        <v>26572513</v>
      </c>
      <c r="O165" s="5">
        <v>30777833600.700001</v>
      </c>
      <c r="P165" t="s">
        <v>37</v>
      </c>
      <c r="Q165" t="s">
        <v>45</v>
      </c>
    </row>
    <row r="166" spans="1:17" x14ac:dyDescent="0.45">
      <c r="A166" s="4">
        <v>5</v>
      </c>
      <c r="B166" t="s">
        <v>30</v>
      </c>
      <c r="C166" s="4">
        <v>30</v>
      </c>
      <c r="D166" t="s">
        <v>64</v>
      </c>
      <c r="E166" t="s">
        <v>55</v>
      </c>
      <c r="F166" t="s">
        <v>56</v>
      </c>
      <c r="G166" t="s">
        <v>57</v>
      </c>
      <c r="H166" t="s">
        <v>35</v>
      </c>
      <c r="I166" s="4">
        <v>2</v>
      </c>
      <c r="J166" s="4">
        <v>2</v>
      </c>
      <c r="K166" t="s">
        <v>36</v>
      </c>
      <c r="L166" s="4">
        <v>2025</v>
      </c>
      <c r="M166" s="5">
        <v>29890735</v>
      </c>
      <c r="N166" s="5">
        <v>29188274</v>
      </c>
      <c r="O166" s="5"/>
      <c r="P166" t="s">
        <v>45</v>
      </c>
      <c r="Q166" t="s">
        <v>45</v>
      </c>
    </row>
    <row r="167" spans="1:17" x14ac:dyDescent="0.45">
      <c r="A167" s="4">
        <v>5</v>
      </c>
      <c r="B167" t="s">
        <v>30</v>
      </c>
      <c r="C167" s="4">
        <v>30</v>
      </c>
      <c r="D167" t="s">
        <v>64</v>
      </c>
      <c r="E167" t="s">
        <v>55</v>
      </c>
      <c r="F167" t="s">
        <v>56</v>
      </c>
      <c r="G167" t="s">
        <v>57</v>
      </c>
      <c r="H167" t="s">
        <v>35</v>
      </c>
      <c r="I167" s="4">
        <v>2</v>
      </c>
      <c r="J167" s="4">
        <v>2</v>
      </c>
      <c r="K167" t="s">
        <v>36</v>
      </c>
      <c r="L167" s="4">
        <v>2024</v>
      </c>
      <c r="M167" s="5">
        <v>32005400</v>
      </c>
      <c r="N167" s="5">
        <v>32005400</v>
      </c>
      <c r="O167" s="5">
        <v>34189423545</v>
      </c>
      <c r="P167" t="s">
        <v>37</v>
      </c>
      <c r="Q167" t="s">
        <v>45</v>
      </c>
    </row>
    <row r="168" spans="1:17" x14ac:dyDescent="0.45">
      <c r="A168" s="4">
        <v>5</v>
      </c>
      <c r="B168" t="s">
        <v>30</v>
      </c>
      <c r="C168" s="4">
        <v>30</v>
      </c>
      <c r="D168" t="s">
        <v>64</v>
      </c>
      <c r="E168" t="s">
        <v>46</v>
      </c>
      <c r="F168" t="s">
        <v>47</v>
      </c>
      <c r="G168" t="s">
        <v>48</v>
      </c>
      <c r="H168" t="s">
        <v>40</v>
      </c>
      <c r="I168" s="4">
        <v>1</v>
      </c>
      <c r="J168" s="4">
        <v>2</v>
      </c>
      <c r="K168" t="s">
        <v>36</v>
      </c>
      <c r="L168" s="4">
        <v>2021</v>
      </c>
      <c r="M168" s="5">
        <v>30003769</v>
      </c>
      <c r="N168" s="5">
        <v>34411474</v>
      </c>
      <c r="O168" s="5">
        <v>424671765455.70001</v>
      </c>
      <c r="P168" t="s">
        <v>37</v>
      </c>
      <c r="Q168" t="s">
        <v>45</v>
      </c>
    </row>
    <row r="169" spans="1:17" x14ac:dyDescent="0.45">
      <c r="A169" s="4">
        <v>5</v>
      </c>
      <c r="B169" t="s">
        <v>30</v>
      </c>
      <c r="C169" s="4">
        <v>30</v>
      </c>
      <c r="D169" t="s">
        <v>64</v>
      </c>
      <c r="E169" t="s">
        <v>38</v>
      </c>
      <c r="F169" t="s">
        <v>39</v>
      </c>
      <c r="G169" t="s">
        <v>34</v>
      </c>
      <c r="H169" t="s">
        <v>40</v>
      </c>
      <c r="I169" s="4">
        <v>1</v>
      </c>
      <c r="J169" s="4">
        <v>2</v>
      </c>
      <c r="K169" t="s">
        <v>36</v>
      </c>
      <c r="L169" s="4">
        <v>2022</v>
      </c>
      <c r="M169" s="5">
        <v>37614560</v>
      </c>
      <c r="N169" s="5">
        <v>40291651</v>
      </c>
      <c r="O169" s="5">
        <v>48764963380.300003</v>
      </c>
      <c r="P169" t="s">
        <v>37</v>
      </c>
      <c r="Q169" t="s">
        <v>45</v>
      </c>
    </row>
    <row r="170" spans="1:17" x14ac:dyDescent="0.45">
      <c r="A170" s="4">
        <v>5</v>
      </c>
      <c r="B170" t="s">
        <v>30</v>
      </c>
      <c r="C170" s="4">
        <v>30</v>
      </c>
      <c r="D170" t="s">
        <v>64</v>
      </c>
      <c r="E170" t="s">
        <v>58</v>
      </c>
      <c r="F170" t="s">
        <v>59</v>
      </c>
      <c r="G170" t="s">
        <v>57</v>
      </c>
      <c r="H170" t="s">
        <v>40</v>
      </c>
      <c r="I170" s="4">
        <v>1</v>
      </c>
      <c r="J170" s="4">
        <v>2</v>
      </c>
      <c r="K170" t="s">
        <v>36</v>
      </c>
      <c r="L170" s="4">
        <v>2021</v>
      </c>
      <c r="M170" s="5">
        <v>36323741</v>
      </c>
      <c r="N170" s="5">
        <v>41659882</v>
      </c>
      <c r="O170" s="5">
        <v>199765859570.89999</v>
      </c>
      <c r="P170" t="s">
        <v>37</v>
      </c>
      <c r="Q170" t="s">
        <v>45</v>
      </c>
    </row>
    <row r="171" spans="1:17" x14ac:dyDescent="0.45">
      <c r="A171" s="4">
        <v>5</v>
      </c>
      <c r="B171" t="s">
        <v>30</v>
      </c>
      <c r="C171" s="4">
        <v>30</v>
      </c>
      <c r="D171" t="s">
        <v>64</v>
      </c>
      <c r="E171" t="s">
        <v>38</v>
      </c>
      <c r="F171" t="s">
        <v>39</v>
      </c>
      <c r="G171" t="s">
        <v>34</v>
      </c>
      <c r="H171" t="s">
        <v>40</v>
      </c>
      <c r="I171" s="4">
        <v>1</v>
      </c>
      <c r="J171" s="4">
        <v>2</v>
      </c>
      <c r="K171" t="s">
        <v>36</v>
      </c>
      <c r="L171" s="4">
        <v>2021</v>
      </c>
      <c r="M171" s="5">
        <v>46799068</v>
      </c>
      <c r="N171" s="5">
        <v>53674091</v>
      </c>
      <c r="O171" s="5">
        <v>46296100140.800003</v>
      </c>
      <c r="P171" t="s">
        <v>37</v>
      </c>
      <c r="Q171" t="s">
        <v>45</v>
      </c>
    </row>
    <row r="172" spans="1:17" x14ac:dyDescent="0.45">
      <c r="A172" s="4">
        <v>5</v>
      </c>
      <c r="B172" t="s">
        <v>30</v>
      </c>
      <c r="C172" s="4">
        <v>30</v>
      </c>
      <c r="D172" t="s">
        <v>64</v>
      </c>
      <c r="E172" t="s">
        <v>38</v>
      </c>
      <c r="F172" t="s">
        <v>39</v>
      </c>
      <c r="G172" t="s">
        <v>34</v>
      </c>
      <c r="H172" t="s">
        <v>40</v>
      </c>
      <c r="I172" s="4">
        <v>1</v>
      </c>
      <c r="J172" s="4">
        <v>2</v>
      </c>
      <c r="K172" t="s">
        <v>36</v>
      </c>
      <c r="L172" s="4">
        <v>2024</v>
      </c>
      <c r="M172" s="5">
        <v>87684314</v>
      </c>
      <c r="N172" s="5">
        <v>87684314</v>
      </c>
      <c r="O172" s="5">
        <v>53352289577.5</v>
      </c>
      <c r="P172" t="s">
        <v>37</v>
      </c>
      <c r="Q172" t="s">
        <v>45</v>
      </c>
    </row>
    <row r="173" spans="1:17" x14ac:dyDescent="0.45">
      <c r="A173" s="4">
        <v>5</v>
      </c>
      <c r="B173" t="s">
        <v>30</v>
      </c>
      <c r="C173" s="4">
        <v>30</v>
      </c>
      <c r="D173" t="s">
        <v>64</v>
      </c>
      <c r="E173" t="s">
        <v>38</v>
      </c>
      <c r="F173" t="s">
        <v>39</v>
      </c>
      <c r="G173" t="s">
        <v>34</v>
      </c>
      <c r="H173" t="s">
        <v>40</v>
      </c>
      <c r="I173" s="4">
        <v>1</v>
      </c>
      <c r="J173" s="4">
        <v>18</v>
      </c>
      <c r="K173" t="s">
        <v>66</v>
      </c>
      <c r="L173" s="4">
        <v>2023</v>
      </c>
      <c r="M173" s="5">
        <v>111300000</v>
      </c>
      <c r="N173" s="5">
        <v>106157760</v>
      </c>
      <c r="O173" s="5">
        <v>51088476388</v>
      </c>
      <c r="P173" t="s">
        <v>37</v>
      </c>
      <c r="Q173" t="s">
        <v>45</v>
      </c>
    </row>
    <row r="174" spans="1:17" x14ac:dyDescent="0.45">
      <c r="A174" s="4">
        <v>5</v>
      </c>
      <c r="B174" t="s">
        <v>30</v>
      </c>
      <c r="C174" s="4">
        <v>30</v>
      </c>
      <c r="D174" t="s">
        <v>64</v>
      </c>
      <c r="E174" t="s">
        <v>58</v>
      </c>
      <c r="F174" t="s">
        <v>59</v>
      </c>
      <c r="G174" t="s">
        <v>57</v>
      </c>
      <c r="H174" t="s">
        <v>40</v>
      </c>
      <c r="I174" s="4">
        <v>1</v>
      </c>
      <c r="J174" s="4">
        <v>2</v>
      </c>
      <c r="K174" t="s">
        <v>36</v>
      </c>
      <c r="L174" s="4">
        <v>2023</v>
      </c>
      <c r="M174" s="5">
        <v>166954211</v>
      </c>
      <c r="N174" s="5">
        <v>171043276</v>
      </c>
      <c r="O174" s="5">
        <v>181221517868.70001</v>
      </c>
      <c r="P174" t="s">
        <v>37</v>
      </c>
      <c r="Q174" t="s">
        <v>45</v>
      </c>
    </row>
    <row r="175" spans="1:17" x14ac:dyDescent="0.45">
      <c r="A175" s="4">
        <v>5</v>
      </c>
      <c r="B175" t="s">
        <v>30</v>
      </c>
      <c r="C175" s="4">
        <v>30</v>
      </c>
      <c r="D175" t="s">
        <v>64</v>
      </c>
      <c r="E175" t="s">
        <v>58</v>
      </c>
      <c r="F175" t="s">
        <v>59</v>
      </c>
      <c r="G175" t="s">
        <v>57</v>
      </c>
      <c r="H175" t="s">
        <v>40</v>
      </c>
      <c r="I175" s="4">
        <v>1</v>
      </c>
      <c r="J175" s="4">
        <v>2</v>
      </c>
      <c r="K175" t="s">
        <v>36</v>
      </c>
      <c r="L175" s="4">
        <v>2024</v>
      </c>
      <c r="M175" s="5">
        <v>202857356</v>
      </c>
      <c r="N175" s="5">
        <v>202857356</v>
      </c>
      <c r="O175" s="5">
        <v>190741262414.70001</v>
      </c>
      <c r="P175" t="s">
        <v>37</v>
      </c>
      <c r="Q175" t="s">
        <v>45</v>
      </c>
    </row>
    <row r="176" spans="1:17" x14ac:dyDescent="0.45">
      <c r="A176" s="4">
        <v>5</v>
      </c>
      <c r="B176" t="s">
        <v>30</v>
      </c>
      <c r="C176" s="4">
        <v>26</v>
      </c>
      <c r="D176" t="s">
        <v>67</v>
      </c>
      <c r="E176" t="s">
        <v>41</v>
      </c>
      <c r="F176" t="s">
        <v>42</v>
      </c>
      <c r="G176" t="s">
        <v>43</v>
      </c>
      <c r="H176" t="s">
        <v>40</v>
      </c>
      <c r="I176" s="4">
        <v>1</v>
      </c>
      <c r="J176" s="4">
        <v>2</v>
      </c>
      <c r="K176" t="s">
        <v>36</v>
      </c>
      <c r="L176" s="4">
        <v>2023</v>
      </c>
      <c r="M176" s="5">
        <v>-8142</v>
      </c>
      <c r="N176" s="5">
        <v>-8342</v>
      </c>
      <c r="O176" s="5">
        <v>336291836137.90002</v>
      </c>
      <c r="P176" t="s">
        <v>37</v>
      </c>
      <c r="Q176" t="s">
        <v>37</v>
      </c>
    </row>
    <row r="177" spans="1:17" x14ac:dyDescent="0.45">
      <c r="A177" s="4">
        <v>5</v>
      </c>
      <c r="B177" t="s">
        <v>30</v>
      </c>
      <c r="C177" s="4">
        <v>26</v>
      </c>
      <c r="D177" t="s">
        <v>67</v>
      </c>
      <c r="E177" t="s">
        <v>41</v>
      </c>
      <c r="F177" t="s">
        <v>42</v>
      </c>
      <c r="G177" t="s">
        <v>43</v>
      </c>
      <c r="H177" t="s">
        <v>40</v>
      </c>
      <c r="I177" s="4">
        <v>1</v>
      </c>
      <c r="J177" s="4">
        <v>2</v>
      </c>
      <c r="K177" t="s">
        <v>36</v>
      </c>
      <c r="L177" s="4">
        <v>2022</v>
      </c>
      <c r="M177" s="5">
        <v>-5258</v>
      </c>
      <c r="N177" s="5">
        <v>-5632</v>
      </c>
      <c r="O177" s="5">
        <v>345632492851.40002</v>
      </c>
      <c r="P177" t="s">
        <v>37</v>
      </c>
      <c r="Q177" t="s">
        <v>37</v>
      </c>
    </row>
    <row r="178" spans="1:17" x14ac:dyDescent="0.45">
      <c r="A178" s="4">
        <v>5</v>
      </c>
      <c r="B178" t="s">
        <v>30</v>
      </c>
      <c r="C178" s="4">
        <v>26</v>
      </c>
      <c r="D178" t="s">
        <v>67</v>
      </c>
      <c r="E178" t="s">
        <v>62</v>
      </c>
      <c r="F178" t="s">
        <v>63</v>
      </c>
      <c r="G178" t="s">
        <v>43</v>
      </c>
      <c r="H178" t="s">
        <v>35</v>
      </c>
      <c r="I178" s="4">
        <v>2</v>
      </c>
      <c r="J178" s="4">
        <v>3</v>
      </c>
      <c r="K178" t="s">
        <v>44</v>
      </c>
      <c r="L178" s="4">
        <v>2024</v>
      </c>
      <c r="M178" s="5">
        <v>200000</v>
      </c>
      <c r="N178" s="5">
        <v>200000</v>
      </c>
      <c r="O178" s="5">
        <v>330267137137.59998</v>
      </c>
      <c r="P178" t="s">
        <v>37</v>
      </c>
      <c r="Q178" t="s">
        <v>45</v>
      </c>
    </row>
    <row r="179" spans="1:17" x14ac:dyDescent="0.45">
      <c r="A179" s="4">
        <v>5</v>
      </c>
      <c r="B179" t="s">
        <v>30</v>
      </c>
      <c r="C179" s="4">
        <v>26</v>
      </c>
      <c r="D179" t="s">
        <v>67</v>
      </c>
      <c r="E179" t="s">
        <v>62</v>
      </c>
      <c r="F179" t="s">
        <v>63</v>
      </c>
      <c r="G179" t="s">
        <v>43</v>
      </c>
      <c r="H179" t="s">
        <v>35</v>
      </c>
      <c r="I179" s="4">
        <v>2</v>
      </c>
      <c r="J179" s="4">
        <v>3</v>
      </c>
      <c r="K179" t="s">
        <v>44</v>
      </c>
      <c r="L179" s="4">
        <v>2022</v>
      </c>
      <c r="M179" s="5">
        <v>114606</v>
      </c>
      <c r="N179" s="5">
        <v>122763</v>
      </c>
      <c r="O179" s="5">
        <v>301226575540.20001</v>
      </c>
      <c r="P179" t="s">
        <v>37</v>
      </c>
      <c r="Q179" t="s">
        <v>45</v>
      </c>
    </row>
    <row r="180" spans="1:17" x14ac:dyDescent="0.45">
      <c r="A180" s="4">
        <v>5</v>
      </c>
      <c r="B180" t="s">
        <v>30</v>
      </c>
      <c r="C180" s="4">
        <v>26</v>
      </c>
      <c r="D180" t="s">
        <v>67</v>
      </c>
      <c r="E180" t="s">
        <v>62</v>
      </c>
      <c r="F180" t="s">
        <v>63</v>
      </c>
      <c r="G180" t="s">
        <v>43</v>
      </c>
      <c r="H180" t="s">
        <v>35</v>
      </c>
      <c r="I180" s="4">
        <v>2</v>
      </c>
      <c r="J180" s="4">
        <v>3</v>
      </c>
      <c r="K180" t="s">
        <v>44</v>
      </c>
      <c r="L180" s="4">
        <v>2023</v>
      </c>
      <c r="M180" s="5">
        <v>115409</v>
      </c>
      <c r="N180" s="5">
        <v>118236</v>
      </c>
      <c r="O180" s="5">
        <v>335518054097.59998</v>
      </c>
      <c r="P180" t="s">
        <v>37</v>
      </c>
      <c r="Q180" t="s">
        <v>45</v>
      </c>
    </row>
    <row r="181" spans="1:17" x14ac:dyDescent="0.45">
      <c r="A181" s="4">
        <v>5</v>
      </c>
      <c r="B181" t="s">
        <v>30</v>
      </c>
      <c r="C181" s="4">
        <v>26</v>
      </c>
      <c r="D181" t="s">
        <v>67</v>
      </c>
      <c r="E181" t="s">
        <v>62</v>
      </c>
      <c r="F181" t="s">
        <v>63</v>
      </c>
      <c r="G181" t="s">
        <v>43</v>
      </c>
      <c r="H181" t="s">
        <v>35</v>
      </c>
      <c r="I181" s="4">
        <v>2</v>
      </c>
      <c r="J181" s="4">
        <v>3</v>
      </c>
      <c r="K181" t="s">
        <v>44</v>
      </c>
      <c r="L181" s="4">
        <v>2021</v>
      </c>
      <c r="M181" s="5">
        <v>100312</v>
      </c>
      <c r="N181" s="5">
        <v>115048</v>
      </c>
      <c r="O181" s="5">
        <v>315325547162.09998</v>
      </c>
      <c r="P181" t="s">
        <v>37</v>
      </c>
      <c r="Q181" t="s">
        <v>45</v>
      </c>
    </row>
    <row r="182" spans="1:17" x14ac:dyDescent="0.45">
      <c r="A182" s="4">
        <v>5</v>
      </c>
      <c r="B182" t="s">
        <v>30</v>
      </c>
      <c r="C182" s="4">
        <v>26</v>
      </c>
      <c r="D182" t="s">
        <v>67</v>
      </c>
      <c r="E182" t="s">
        <v>41</v>
      </c>
      <c r="F182" t="s">
        <v>42</v>
      </c>
      <c r="G182" t="s">
        <v>43</v>
      </c>
      <c r="H182" t="s">
        <v>40</v>
      </c>
      <c r="I182" s="4">
        <v>1</v>
      </c>
      <c r="J182" s="4">
        <v>3</v>
      </c>
      <c r="K182" t="s">
        <v>44</v>
      </c>
      <c r="L182" s="4">
        <v>2022</v>
      </c>
      <c r="M182" s="5">
        <v>-5258</v>
      </c>
      <c r="N182" s="5">
        <v>-5632</v>
      </c>
      <c r="O182" s="5">
        <v>345632492851.40002</v>
      </c>
      <c r="P182" t="s">
        <v>37</v>
      </c>
      <c r="Q182" t="s">
        <v>37</v>
      </c>
    </row>
    <row r="183" spans="1:17" x14ac:dyDescent="0.45">
      <c r="A183" s="4">
        <v>5</v>
      </c>
      <c r="B183" t="s">
        <v>30</v>
      </c>
      <c r="C183" s="4">
        <v>26</v>
      </c>
      <c r="D183" t="s">
        <v>67</v>
      </c>
      <c r="E183" t="s">
        <v>46</v>
      </c>
      <c r="F183" t="s">
        <v>47</v>
      </c>
      <c r="G183" t="s">
        <v>48</v>
      </c>
      <c r="H183" t="s">
        <v>40</v>
      </c>
      <c r="I183" s="4">
        <v>1</v>
      </c>
      <c r="J183" s="4">
        <v>3</v>
      </c>
      <c r="K183" t="s">
        <v>44</v>
      </c>
      <c r="L183" s="4">
        <v>2024</v>
      </c>
      <c r="M183" s="5">
        <v>9827096</v>
      </c>
      <c r="N183" s="5">
        <v>9827096</v>
      </c>
      <c r="O183" s="5">
        <v>389059911003.59998</v>
      </c>
      <c r="P183" t="s">
        <v>37</v>
      </c>
      <c r="Q183" t="s">
        <v>45</v>
      </c>
    </row>
    <row r="184" spans="1:17" x14ac:dyDescent="0.45">
      <c r="A184" s="4">
        <v>5</v>
      </c>
      <c r="B184" t="s">
        <v>30</v>
      </c>
      <c r="C184" s="4">
        <v>26</v>
      </c>
      <c r="D184" t="s">
        <v>67</v>
      </c>
      <c r="E184" t="s">
        <v>38</v>
      </c>
      <c r="F184" t="s">
        <v>39</v>
      </c>
      <c r="G184" t="s">
        <v>34</v>
      </c>
      <c r="H184" t="s">
        <v>40</v>
      </c>
      <c r="I184" s="4">
        <v>1</v>
      </c>
      <c r="J184" s="4">
        <v>2</v>
      </c>
      <c r="K184" t="s">
        <v>36</v>
      </c>
      <c r="L184" s="4">
        <v>2022</v>
      </c>
      <c r="M184" s="5">
        <v>25389</v>
      </c>
      <c r="N184" s="5">
        <v>27196</v>
      </c>
      <c r="O184" s="5">
        <v>48764963380.300003</v>
      </c>
      <c r="P184" t="s">
        <v>37</v>
      </c>
      <c r="Q184" t="s">
        <v>45</v>
      </c>
    </row>
    <row r="185" spans="1:17" x14ac:dyDescent="0.45">
      <c r="A185" s="4">
        <v>5</v>
      </c>
      <c r="B185" t="s">
        <v>30</v>
      </c>
      <c r="C185" s="4">
        <v>26</v>
      </c>
      <c r="D185" t="s">
        <v>67</v>
      </c>
      <c r="E185" t="s">
        <v>46</v>
      </c>
      <c r="F185" t="s">
        <v>47</v>
      </c>
      <c r="G185" t="s">
        <v>48</v>
      </c>
      <c r="H185" t="s">
        <v>40</v>
      </c>
      <c r="I185" s="4">
        <v>1</v>
      </c>
      <c r="J185" s="4">
        <v>3</v>
      </c>
      <c r="K185" t="s">
        <v>44</v>
      </c>
      <c r="L185" s="4">
        <v>2023</v>
      </c>
      <c r="M185" s="5">
        <v>5970136</v>
      </c>
      <c r="N185" s="5">
        <v>6116355</v>
      </c>
      <c r="O185" s="5">
        <v>395926075163</v>
      </c>
      <c r="P185" t="s">
        <v>37</v>
      </c>
      <c r="Q185" t="s">
        <v>45</v>
      </c>
    </row>
    <row r="186" spans="1:17" x14ac:dyDescent="0.45">
      <c r="A186" s="4">
        <v>5</v>
      </c>
      <c r="B186" t="s">
        <v>30</v>
      </c>
      <c r="C186" s="4">
        <v>26</v>
      </c>
      <c r="D186" t="s">
        <v>67</v>
      </c>
      <c r="E186" t="s">
        <v>55</v>
      </c>
      <c r="F186" t="s">
        <v>56</v>
      </c>
      <c r="G186" t="s">
        <v>57</v>
      </c>
      <c r="H186" t="s">
        <v>35</v>
      </c>
      <c r="I186" s="4">
        <v>2</v>
      </c>
      <c r="J186" s="4">
        <v>2</v>
      </c>
      <c r="K186" t="s">
        <v>36</v>
      </c>
      <c r="L186" s="4">
        <v>2022</v>
      </c>
      <c r="M186" s="5">
        <v>32000</v>
      </c>
      <c r="N186" s="5">
        <v>34278</v>
      </c>
      <c r="O186" s="5">
        <v>24984568959.599998</v>
      </c>
      <c r="P186" t="s">
        <v>37</v>
      </c>
      <c r="Q186" t="s">
        <v>45</v>
      </c>
    </row>
    <row r="187" spans="1:17" x14ac:dyDescent="0.45">
      <c r="A187" s="4">
        <v>5</v>
      </c>
      <c r="B187" t="s">
        <v>30</v>
      </c>
      <c r="C187" s="4">
        <v>26</v>
      </c>
      <c r="D187" t="s">
        <v>67</v>
      </c>
      <c r="E187" t="s">
        <v>46</v>
      </c>
      <c r="F187" t="s">
        <v>47</v>
      </c>
      <c r="G187" t="s">
        <v>48</v>
      </c>
      <c r="H187" t="s">
        <v>40</v>
      </c>
      <c r="I187" s="4">
        <v>1</v>
      </c>
      <c r="J187" s="4">
        <v>3</v>
      </c>
      <c r="K187" t="s">
        <v>44</v>
      </c>
      <c r="L187" s="4">
        <v>2025</v>
      </c>
      <c r="M187" s="5">
        <v>3755211</v>
      </c>
      <c r="N187" s="5">
        <v>3666959</v>
      </c>
      <c r="O187" s="5"/>
      <c r="P187" t="s">
        <v>45</v>
      </c>
      <c r="Q187" t="s">
        <v>45</v>
      </c>
    </row>
    <row r="188" spans="1:17" x14ac:dyDescent="0.45">
      <c r="A188" s="4">
        <v>5</v>
      </c>
      <c r="B188" t="s">
        <v>30</v>
      </c>
      <c r="C188" s="4">
        <v>26</v>
      </c>
      <c r="D188" t="s">
        <v>67</v>
      </c>
      <c r="E188" t="s">
        <v>55</v>
      </c>
      <c r="F188" t="s">
        <v>56</v>
      </c>
      <c r="G188" t="s">
        <v>57</v>
      </c>
      <c r="H188" t="s">
        <v>35</v>
      </c>
      <c r="I188" s="4">
        <v>2</v>
      </c>
      <c r="J188" s="4">
        <v>2</v>
      </c>
      <c r="K188" t="s">
        <v>36</v>
      </c>
      <c r="L188" s="4">
        <v>2021</v>
      </c>
      <c r="M188" s="5">
        <v>30000</v>
      </c>
      <c r="N188" s="5">
        <v>34407</v>
      </c>
      <c r="O188" s="5">
        <v>18853115588.799999</v>
      </c>
      <c r="P188" t="s">
        <v>37</v>
      </c>
      <c r="Q188" t="s">
        <v>45</v>
      </c>
    </row>
    <row r="189" spans="1:17" x14ac:dyDescent="0.45">
      <c r="A189" s="4">
        <v>5</v>
      </c>
      <c r="B189" t="s">
        <v>30</v>
      </c>
      <c r="C189" s="4">
        <v>26</v>
      </c>
      <c r="D189" t="s">
        <v>67</v>
      </c>
      <c r="E189" t="s">
        <v>46</v>
      </c>
      <c r="F189" t="s">
        <v>47</v>
      </c>
      <c r="G189" t="s">
        <v>48</v>
      </c>
      <c r="H189" t="s">
        <v>40</v>
      </c>
      <c r="I189" s="4">
        <v>1</v>
      </c>
      <c r="J189" s="4">
        <v>3</v>
      </c>
      <c r="K189" t="s">
        <v>44</v>
      </c>
      <c r="L189" s="4">
        <v>2022</v>
      </c>
      <c r="M189" s="5">
        <v>26497</v>
      </c>
      <c r="N189" s="5">
        <v>28384</v>
      </c>
      <c r="O189" s="5">
        <v>476747720364.70001</v>
      </c>
      <c r="P189" t="s">
        <v>37</v>
      </c>
      <c r="Q189" t="s">
        <v>45</v>
      </c>
    </row>
    <row r="190" spans="1:17" x14ac:dyDescent="0.45">
      <c r="A190" s="4">
        <v>5</v>
      </c>
      <c r="B190" t="s">
        <v>30</v>
      </c>
      <c r="C190" s="4">
        <v>26</v>
      </c>
      <c r="D190" t="s">
        <v>67</v>
      </c>
      <c r="E190" t="s">
        <v>46</v>
      </c>
      <c r="F190" t="s">
        <v>47</v>
      </c>
      <c r="G190" t="s">
        <v>48</v>
      </c>
      <c r="H190" t="s">
        <v>40</v>
      </c>
      <c r="I190" s="4">
        <v>1</v>
      </c>
      <c r="J190" s="4">
        <v>3</v>
      </c>
      <c r="K190" t="s">
        <v>44</v>
      </c>
      <c r="L190" s="4">
        <v>2021</v>
      </c>
      <c r="M190" s="5">
        <v>4189</v>
      </c>
      <c r="N190" s="5">
        <v>4804</v>
      </c>
      <c r="O190" s="5">
        <v>424671765455.70001</v>
      </c>
      <c r="P190" t="s">
        <v>37</v>
      </c>
      <c r="Q190" t="s">
        <v>45</v>
      </c>
    </row>
    <row r="191" spans="1:17" x14ac:dyDescent="0.45">
      <c r="A191" s="4">
        <v>5</v>
      </c>
      <c r="B191" t="s">
        <v>30</v>
      </c>
      <c r="C191" s="4">
        <v>26</v>
      </c>
      <c r="D191" t="s">
        <v>67</v>
      </c>
      <c r="E191" t="s">
        <v>55</v>
      </c>
      <c r="F191" t="s">
        <v>56</v>
      </c>
      <c r="G191" t="s">
        <v>57</v>
      </c>
      <c r="H191" t="s">
        <v>35</v>
      </c>
      <c r="I191" s="4">
        <v>2</v>
      </c>
      <c r="J191" s="4">
        <v>2</v>
      </c>
      <c r="K191" t="s">
        <v>36</v>
      </c>
      <c r="L191" s="4">
        <v>2023</v>
      </c>
      <c r="M191" s="5">
        <v>51514</v>
      </c>
      <c r="N191" s="5">
        <v>52776</v>
      </c>
      <c r="O191" s="5">
        <v>30777833600.700001</v>
      </c>
      <c r="P191" t="s">
        <v>37</v>
      </c>
      <c r="Q191" t="s">
        <v>45</v>
      </c>
    </row>
    <row r="192" spans="1:17" x14ac:dyDescent="0.45">
      <c r="A192" s="4">
        <v>5</v>
      </c>
      <c r="B192" t="s">
        <v>30</v>
      </c>
      <c r="C192" s="4">
        <v>26</v>
      </c>
      <c r="D192" t="s">
        <v>67</v>
      </c>
      <c r="E192" t="s">
        <v>58</v>
      </c>
      <c r="F192" t="s">
        <v>59</v>
      </c>
      <c r="G192" t="s">
        <v>57</v>
      </c>
      <c r="H192" t="s">
        <v>40</v>
      </c>
      <c r="I192" s="4">
        <v>1</v>
      </c>
      <c r="J192" s="4">
        <v>2</v>
      </c>
      <c r="K192" t="s">
        <v>36</v>
      </c>
      <c r="L192" s="4">
        <v>2025</v>
      </c>
      <c r="M192" s="5">
        <v>95000</v>
      </c>
      <c r="N192" s="5">
        <v>92767</v>
      </c>
      <c r="O192" s="5"/>
      <c r="P192" t="s">
        <v>45</v>
      </c>
      <c r="Q192" t="s">
        <v>45</v>
      </c>
    </row>
    <row r="193" spans="1:17" x14ac:dyDescent="0.45">
      <c r="A193" s="4">
        <v>5</v>
      </c>
      <c r="B193" t="s">
        <v>30</v>
      </c>
      <c r="C193" s="4">
        <v>26</v>
      </c>
      <c r="D193" t="s">
        <v>67</v>
      </c>
      <c r="E193" t="s">
        <v>55</v>
      </c>
      <c r="F193" t="s">
        <v>56</v>
      </c>
      <c r="G193" t="s">
        <v>57</v>
      </c>
      <c r="H193" t="s">
        <v>35</v>
      </c>
      <c r="I193" s="4">
        <v>2</v>
      </c>
      <c r="J193" s="4">
        <v>3</v>
      </c>
      <c r="K193" t="s">
        <v>44</v>
      </c>
      <c r="L193" s="4">
        <v>2023</v>
      </c>
      <c r="M193" s="5">
        <v>51246</v>
      </c>
      <c r="N193" s="5">
        <v>52500</v>
      </c>
      <c r="O193" s="5">
        <v>30777833600.700001</v>
      </c>
      <c r="P193" t="s">
        <v>37</v>
      </c>
      <c r="Q193" t="s">
        <v>45</v>
      </c>
    </row>
    <row r="194" spans="1:17" x14ac:dyDescent="0.45">
      <c r="A194" s="4">
        <v>5</v>
      </c>
      <c r="B194" t="s">
        <v>30</v>
      </c>
      <c r="C194" s="4">
        <v>26</v>
      </c>
      <c r="D194" t="s">
        <v>67</v>
      </c>
      <c r="E194" t="s">
        <v>62</v>
      </c>
      <c r="F194" t="s">
        <v>63</v>
      </c>
      <c r="G194" t="s">
        <v>43</v>
      </c>
      <c r="H194" t="s">
        <v>35</v>
      </c>
      <c r="I194" s="4">
        <v>2</v>
      </c>
      <c r="J194" s="4">
        <v>2</v>
      </c>
      <c r="K194" t="s">
        <v>36</v>
      </c>
      <c r="L194" s="4">
        <v>2021</v>
      </c>
      <c r="M194" s="5">
        <v>137000</v>
      </c>
      <c r="N194" s="5">
        <v>157126</v>
      </c>
      <c r="O194" s="5">
        <v>315325547162.09998</v>
      </c>
      <c r="P194" t="s">
        <v>37</v>
      </c>
      <c r="Q194" t="s">
        <v>45</v>
      </c>
    </row>
    <row r="195" spans="1:17" x14ac:dyDescent="0.45">
      <c r="A195" s="4">
        <v>5</v>
      </c>
      <c r="B195" t="s">
        <v>30</v>
      </c>
      <c r="C195" s="4">
        <v>26</v>
      </c>
      <c r="D195" t="s">
        <v>67</v>
      </c>
      <c r="E195" t="s">
        <v>55</v>
      </c>
      <c r="F195" t="s">
        <v>56</v>
      </c>
      <c r="G195" t="s">
        <v>57</v>
      </c>
      <c r="H195" t="s">
        <v>35</v>
      </c>
      <c r="I195" s="4">
        <v>2</v>
      </c>
      <c r="J195" s="4">
        <v>3</v>
      </c>
      <c r="K195" t="s">
        <v>44</v>
      </c>
      <c r="L195" s="4">
        <v>2022</v>
      </c>
      <c r="M195" s="5">
        <v>47746</v>
      </c>
      <c r="N195" s="5">
        <v>51146</v>
      </c>
      <c r="O195" s="5">
        <v>24984568959.599998</v>
      </c>
      <c r="P195" t="s">
        <v>37</v>
      </c>
      <c r="Q195" t="s">
        <v>45</v>
      </c>
    </row>
    <row r="196" spans="1:17" x14ac:dyDescent="0.45">
      <c r="A196" s="4">
        <v>5</v>
      </c>
      <c r="B196" t="s">
        <v>30</v>
      </c>
      <c r="C196" s="4">
        <v>26</v>
      </c>
      <c r="D196" t="s">
        <v>67</v>
      </c>
      <c r="E196" t="s">
        <v>55</v>
      </c>
      <c r="F196" t="s">
        <v>56</v>
      </c>
      <c r="G196" t="s">
        <v>57</v>
      </c>
      <c r="H196" t="s">
        <v>35</v>
      </c>
      <c r="I196" s="4">
        <v>2</v>
      </c>
      <c r="J196" s="4">
        <v>3</v>
      </c>
      <c r="K196" t="s">
        <v>44</v>
      </c>
      <c r="L196" s="4">
        <v>2021</v>
      </c>
      <c r="M196" s="5">
        <v>16251</v>
      </c>
      <c r="N196" s="5">
        <v>18638</v>
      </c>
      <c r="O196" s="5">
        <v>18853115588.799999</v>
      </c>
      <c r="P196" t="s">
        <v>37</v>
      </c>
      <c r="Q196" t="s">
        <v>45</v>
      </c>
    </row>
    <row r="197" spans="1:17" x14ac:dyDescent="0.45">
      <c r="A197" s="4">
        <v>5</v>
      </c>
      <c r="B197" t="s">
        <v>30</v>
      </c>
      <c r="C197" s="4">
        <v>26</v>
      </c>
      <c r="D197" t="s">
        <v>67</v>
      </c>
      <c r="E197" t="s">
        <v>62</v>
      </c>
      <c r="F197" t="s">
        <v>63</v>
      </c>
      <c r="G197" t="s">
        <v>43</v>
      </c>
      <c r="H197" t="s">
        <v>35</v>
      </c>
      <c r="I197" s="4">
        <v>2</v>
      </c>
      <c r="J197" s="4">
        <v>2</v>
      </c>
      <c r="K197" t="s">
        <v>36</v>
      </c>
      <c r="L197" s="4">
        <v>2025</v>
      </c>
      <c r="M197" s="5">
        <v>174500</v>
      </c>
      <c r="N197" s="5">
        <v>170399</v>
      </c>
      <c r="O197" s="5"/>
      <c r="P197" t="s">
        <v>45</v>
      </c>
      <c r="Q197" t="s">
        <v>45</v>
      </c>
    </row>
    <row r="198" spans="1:17" x14ac:dyDescent="0.45">
      <c r="A198" s="4">
        <v>5</v>
      </c>
      <c r="B198" t="s">
        <v>30</v>
      </c>
      <c r="C198" s="4">
        <v>26</v>
      </c>
      <c r="D198" t="s">
        <v>67</v>
      </c>
      <c r="E198" t="s">
        <v>62</v>
      </c>
      <c r="F198" t="s">
        <v>63</v>
      </c>
      <c r="G198" t="s">
        <v>43</v>
      </c>
      <c r="H198" t="s">
        <v>35</v>
      </c>
      <c r="I198" s="4">
        <v>2</v>
      </c>
      <c r="J198" s="4">
        <v>2</v>
      </c>
      <c r="K198" t="s">
        <v>36</v>
      </c>
      <c r="L198" s="4">
        <v>2023</v>
      </c>
      <c r="M198" s="5">
        <v>175000</v>
      </c>
      <c r="N198" s="5">
        <v>179286</v>
      </c>
      <c r="O198" s="5">
        <v>335518054097.59998</v>
      </c>
      <c r="P198" t="s">
        <v>37</v>
      </c>
      <c r="Q198" t="s">
        <v>45</v>
      </c>
    </row>
    <row r="199" spans="1:17" x14ac:dyDescent="0.45">
      <c r="A199" s="4">
        <v>5</v>
      </c>
      <c r="B199" t="s">
        <v>30</v>
      </c>
      <c r="C199" s="4">
        <v>26</v>
      </c>
      <c r="D199" t="s">
        <v>67</v>
      </c>
      <c r="E199" t="s">
        <v>62</v>
      </c>
      <c r="F199" t="s">
        <v>63</v>
      </c>
      <c r="G199" t="s">
        <v>43</v>
      </c>
      <c r="H199" t="s">
        <v>35</v>
      </c>
      <c r="I199" s="4">
        <v>2</v>
      </c>
      <c r="J199" s="4">
        <v>2</v>
      </c>
      <c r="K199" t="s">
        <v>36</v>
      </c>
      <c r="L199" s="4">
        <v>2022</v>
      </c>
      <c r="M199" s="5">
        <v>171000</v>
      </c>
      <c r="N199" s="5">
        <v>183170</v>
      </c>
      <c r="O199" s="5">
        <v>301226575540.20001</v>
      </c>
      <c r="P199" t="s">
        <v>37</v>
      </c>
      <c r="Q199" t="s">
        <v>45</v>
      </c>
    </row>
    <row r="200" spans="1:17" x14ac:dyDescent="0.45">
      <c r="A200" s="4">
        <v>5</v>
      </c>
      <c r="B200" t="s">
        <v>30</v>
      </c>
      <c r="C200" s="4">
        <v>26</v>
      </c>
      <c r="D200" t="s">
        <v>67</v>
      </c>
      <c r="E200" t="s">
        <v>62</v>
      </c>
      <c r="F200" t="s">
        <v>63</v>
      </c>
      <c r="G200" t="s">
        <v>43</v>
      </c>
      <c r="H200" t="s">
        <v>35</v>
      </c>
      <c r="I200" s="4">
        <v>2</v>
      </c>
      <c r="J200" s="4">
        <v>2</v>
      </c>
      <c r="K200" t="s">
        <v>36</v>
      </c>
      <c r="L200" s="4">
        <v>2024</v>
      </c>
      <c r="M200" s="5">
        <v>200000</v>
      </c>
      <c r="N200" s="5">
        <v>200000</v>
      </c>
      <c r="O200" s="5">
        <v>330267137137.59998</v>
      </c>
      <c r="P200" t="s">
        <v>37</v>
      </c>
      <c r="Q200" t="s">
        <v>45</v>
      </c>
    </row>
    <row r="201" spans="1:17" x14ac:dyDescent="0.45">
      <c r="A201" s="4">
        <v>5</v>
      </c>
      <c r="B201" t="s">
        <v>30</v>
      </c>
      <c r="C201" s="4">
        <v>26</v>
      </c>
      <c r="D201" t="s">
        <v>67</v>
      </c>
      <c r="E201" t="s">
        <v>38</v>
      </c>
      <c r="F201" t="s">
        <v>39</v>
      </c>
      <c r="G201" t="s">
        <v>34</v>
      </c>
      <c r="H201" t="s">
        <v>40</v>
      </c>
      <c r="I201" s="4">
        <v>1</v>
      </c>
      <c r="J201" s="4">
        <v>2</v>
      </c>
      <c r="K201" t="s">
        <v>36</v>
      </c>
      <c r="L201" s="4">
        <v>2024</v>
      </c>
      <c r="M201" s="5">
        <v>227900</v>
      </c>
      <c r="N201" s="5">
        <v>227900</v>
      </c>
      <c r="O201" s="5">
        <v>53352289577.5</v>
      </c>
      <c r="P201" t="s">
        <v>37</v>
      </c>
      <c r="Q201" t="s">
        <v>45</v>
      </c>
    </row>
    <row r="202" spans="1:17" x14ac:dyDescent="0.45">
      <c r="A202" s="4">
        <v>5</v>
      </c>
      <c r="B202" t="s">
        <v>30</v>
      </c>
      <c r="C202" s="4">
        <v>26</v>
      </c>
      <c r="D202" t="s">
        <v>67</v>
      </c>
      <c r="E202" t="s">
        <v>38</v>
      </c>
      <c r="F202" t="s">
        <v>39</v>
      </c>
      <c r="G202" t="s">
        <v>34</v>
      </c>
      <c r="H202" t="s">
        <v>40</v>
      </c>
      <c r="I202" s="4">
        <v>1</v>
      </c>
      <c r="J202" s="4">
        <v>3</v>
      </c>
      <c r="K202" t="s">
        <v>44</v>
      </c>
      <c r="L202" s="4">
        <v>2023</v>
      </c>
      <c r="M202" s="5">
        <v>1506836</v>
      </c>
      <c r="N202" s="5">
        <v>1543741</v>
      </c>
      <c r="O202" s="5">
        <v>51088476388</v>
      </c>
      <c r="P202" t="s">
        <v>37</v>
      </c>
      <c r="Q202" t="s">
        <v>45</v>
      </c>
    </row>
    <row r="203" spans="1:17" x14ac:dyDescent="0.45">
      <c r="A203" s="4">
        <v>5</v>
      </c>
      <c r="B203" t="s">
        <v>30</v>
      </c>
      <c r="C203" s="4">
        <v>26</v>
      </c>
      <c r="D203" t="s">
        <v>67</v>
      </c>
      <c r="E203" t="s">
        <v>38</v>
      </c>
      <c r="F203" t="s">
        <v>39</v>
      </c>
      <c r="G203" t="s">
        <v>34</v>
      </c>
      <c r="H203" t="s">
        <v>40</v>
      </c>
      <c r="I203" s="4">
        <v>1</v>
      </c>
      <c r="J203" s="4">
        <v>3</v>
      </c>
      <c r="K203" t="s">
        <v>44</v>
      </c>
      <c r="L203" s="4">
        <v>2024</v>
      </c>
      <c r="M203" s="5">
        <v>1191701</v>
      </c>
      <c r="N203" s="5">
        <v>1191701</v>
      </c>
      <c r="O203" s="5">
        <v>53352289577.5</v>
      </c>
      <c r="P203" t="s">
        <v>37</v>
      </c>
      <c r="Q203" t="s">
        <v>45</v>
      </c>
    </row>
    <row r="204" spans="1:17" x14ac:dyDescent="0.45">
      <c r="A204" s="4">
        <v>5</v>
      </c>
      <c r="B204" t="s">
        <v>30</v>
      </c>
      <c r="C204" s="4">
        <v>26</v>
      </c>
      <c r="D204" t="s">
        <v>67</v>
      </c>
      <c r="E204" t="s">
        <v>38</v>
      </c>
      <c r="F204" t="s">
        <v>39</v>
      </c>
      <c r="G204" t="s">
        <v>34</v>
      </c>
      <c r="H204" t="s">
        <v>40</v>
      </c>
      <c r="I204" s="4">
        <v>1</v>
      </c>
      <c r="J204" s="4">
        <v>3</v>
      </c>
      <c r="K204" t="s">
        <v>44</v>
      </c>
      <c r="L204" s="4">
        <v>2022</v>
      </c>
      <c r="M204" s="5">
        <v>1055992</v>
      </c>
      <c r="N204" s="5">
        <v>1131148</v>
      </c>
      <c r="O204" s="5">
        <v>48764963380.300003</v>
      </c>
      <c r="P204" t="s">
        <v>37</v>
      </c>
      <c r="Q204" t="s">
        <v>45</v>
      </c>
    </row>
    <row r="205" spans="1:17" x14ac:dyDescent="0.45">
      <c r="A205" s="4">
        <v>5</v>
      </c>
      <c r="B205" t="s">
        <v>30</v>
      </c>
      <c r="C205" s="4">
        <v>26</v>
      </c>
      <c r="D205" t="s">
        <v>67</v>
      </c>
      <c r="E205" t="s">
        <v>38</v>
      </c>
      <c r="F205" t="s">
        <v>39</v>
      </c>
      <c r="G205" t="s">
        <v>34</v>
      </c>
      <c r="H205" t="s">
        <v>40</v>
      </c>
      <c r="I205" s="4">
        <v>1</v>
      </c>
      <c r="J205" s="4">
        <v>3</v>
      </c>
      <c r="K205" t="s">
        <v>44</v>
      </c>
      <c r="L205" s="4">
        <v>2025</v>
      </c>
      <c r="M205" s="5">
        <v>641358</v>
      </c>
      <c r="N205" s="5">
        <v>626284</v>
      </c>
      <c r="O205" s="5"/>
      <c r="P205" t="s">
        <v>45</v>
      </c>
      <c r="Q205" t="s">
        <v>45</v>
      </c>
    </row>
    <row r="206" spans="1:17" x14ac:dyDescent="0.45">
      <c r="A206" s="4">
        <v>5</v>
      </c>
      <c r="B206" t="s">
        <v>30</v>
      </c>
      <c r="C206" s="4">
        <v>26</v>
      </c>
      <c r="D206" t="s">
        <v>67</v>
      </c>
      <c r="E206" t="s">
        <v>38</v>
      </c>
      <c r="F206" t="s">
        <v>39</v>
      </c>
      <c r="G206" t="s">
        <v>34</v>
      </c>
      <c r="H206" t="s">
        <v>40</v>
      </c>
      <c r="I206" s="4">
        <v>1</v>
      </c>
      <c r="J206" s="4">
        <v>3</v>
      </c>
      <c r="K206" t="s">
        <v>44</v>
      </c>
      <c r="L206" s="4">
        <v>2021</v>
      </c>
      <c r="M206" s="5">
        <v>172962</v>
      </c>
      <c r="N206" s="5">
        <v>198372</v>
      </c>
      <c r="O206" s="5">
        <v>46296100140.800003</v>
      </c>
      <c r="P206" t="s">
        <v>37</v>
      </c>
      <c r="Q206" t="s">
        <v>45</v>
      </c>
    </row>
    <row r="207" spans="1:17" x14ac:dyDescent="0.45">
      <c r="A207" s="4">
        <v>5</v>
      </c>
      <c r="B207" t="s">
        <v>30</v>
      </c>
      <c r="C207" s="4">
        <v>26</v>
      </c>
      <c r="D207" t="s">
        <v>67</v>
      </c>
      <c r="E207" t="s">
        <v>46</v>
      </c>
      <c r="F207" t="s">
        <v>47</v>
      </c>
      <c r="G207" t="s">
        <v>48</v>
      </c>
      <c r="H207" t="s">
        <v>40</v>
      </c>
      <c r="I207" s="4">
        <v>1</v>
      </c>
      <c r="J207" s="4">
        <v>18</v>
      </c>
      <c r="K207" t="s">
        <v>66</v>
      </c>
      <c r="L207" s="4">
        <v>2023</v>
      </c>
      <c r="M207" s="5">
        <v>500000</v>
      </c>
      <c r="N207" s="5">
        <v>476899</v>
      </c>
      <c r="O207" s="5">
        <v>395926075163</v>
      </c>
      <c r="P207" t="s">
        <v>37</v>
      </c>
      <c r="Q207" t="s">
        <v>45</v>
      </c>
    </row>
    <row r="208" spans="1:17" x14ac:dyDescent="0.45">
      <c r="A208" s="4">
        <v>5</v>
      </c>
      <c r="B208" t="s">
        <v>30</v>
      </c>
      <c r="C208" s="4">
        <v>26</v>
      </c>
      <c r="D208" t="s">
        <v>67</v>
      </c>
      <c r="E208" t="s">
        <v>46</v>
      </c>
      <c r="F208" t="s">
        <v>47</v>
      </c>
      <c r="G208" t="s">
        <v>48</v>
      </c>
      <c r="H208" t="s">
        <v>40</v>
      </c>
      <c r="I208" s="4">
        <v>1</v>
      </c>
      <c r="J208" s="4">
        <v>1</v>
      </c>
      <c r="K208" t="s">
        <v>65</v>
      </c>
      <c r="L208" s="4">
        <v>2022</v>
      </c>
      <c r="M208" s="5">
        <v>500000</v>
      </c>
      <c r="N208" s="5">
        <v>500000</v>
      </c>
      <c r="O208" s="5">
        <v>476747720364.70001</v>
      </c>
      <c r="P208" t="s">
        <v>37</v>
      </c>
      <c r="Q208" t="s">
        <v>45</v>
      </c>
    </row>
    <row r="209" spans="1:17" x14ac:dyDescent="0.45">
      <c r="A209" s="4">
        <v>5</v>
      </c>
      <c r="B209" t="s">
        <v>30</v>
      </c>
      <c r="C209" s="4">
        <v>26</v>
      </c>
      <c r="D209" t="s">
        <v>67</v>
      </c>
      <c r="E209" t="s">
        <v>55</v>
      </c>
      <c r="F209" t="s">
        <v>56</v>
      </c>
      <c r="G209" t="s">
        <v>57</v>
      </c>
      <c r="H209" t="s">
        <v>35</v>
      </c>
      <c r="I209" s="4">
        <v>2</v>
      </c>
      <c r="J209" s="4">
        <v>18</v>
      </c>
      <c r="K209" t="s">
        <v>66</v>
      </c>
      <c r="L209" s="4">
        <v>2021</v>
      </c>
      <c r="M209" s="5">
        <v>470000</v>
      </c>
      <c r="N209" s="5">
        <v>502565</v>
      </c>
      <c r="O209" s="5">
        <v>18853115588.799999</v>
      </c>
      <c r="P209" t="s">
        <v>37</v>
      </c>
      <c r="Q209" t="s">
        <v>45</v>
      </c>
    </row>
    <row r="210" spans="1:17" x14ac:dyDescent="0.45">
      <c r="A210" s="4">
        <v>5</v>
      </c>
      <c r="B210" t="s">
        <v>30</v>
      </c>
      <c r="C210" s="4">
        <v>26</v>
      </c>
      <c r="D210" t="s">
        <v>67</v>
      </c>
      <c r="E210" t="s">
        <v>46</v>
      </c>
      <c r="F210" t="s">
        <v>47</v>
      </c>
      <c r="G210" t="s">
        <v>48</v>
      </c>
      <c r="H210" t="s">
        <v>40</v>
      </c>
      <c r="I210" s="4">
        <v>1</v>
      </c>
      <c r="J210" s="4">
        <v>1</v>
      </c>
      <c r="K210" t="s">
        <v>65</v>
      </c>
      <c r="L210" s="4">
        <v>2021</v>
      </c>
      <c r="M210" s="5">
        <v>500000</v>
      </c>
      <c r="N210" s="5">
        <v>534644</v>
      </c>
      <c r="O210" s="5">
        <v>424671765455.70001</v>
      </c>
      <c r="P210" t="s">
        <v>37</v>
      </c>
      <c r="Q210" t="s">
        <v>45</v>
      </c>
    </row>
    <row r="211" spans="1:17" x14ac:dyDescent="0.45">
      <c r="A211" s="4">
        <v>5</v>
      </c>
      <c r="B211" t="s">
        <v>30</v>
      </c>
      <c r="C211" s="4">
        <v>26</v>
      </c>
      <c r="D211" t="s">
        <v>67</v>
      </c>
      <c r="E211" t="s">
        <v>46</v>
      </c>
      <c r="F211" t="s">
        <v>47</v>
      </c>
      <c r="G211" t="s">
        <v>48</v>
      </c>
      <c r="H211" t="s">
        <v>40</v>
      </c>
      <c r="I211" s="4">
        <v>1</v>
      </c>
      <c r="J211" s="4">
        <v>18</v>
      </c>
      <c r="K211" t="s">
        <v>66</v>
      </c>
      <c r="L211" s="4">
        <v>2022</v>
      </c>
      <c r="M211" s="5">
        <v>1000000</v>
      </c>
      <c r="N211" s="5">
        <v>1000000</v>
      </c>
      <c r="O211" s="5">
        <v>476747720364.70001</v>
      </c>
      <c r="P211" t="s">
        <v>37</v>
      </c>
      <c r="Q211" t="s">
        <v>45</v>
      </c>
    </row>
    <row r="212" spans="1:17" x14ac:dyDescent="0.45">
      <c r="A212" s="4">
        <v>5</v>
      </c>
      <c r="B212" t="s">
        <v>30</v>
      </c>
      <c r="C212" s="4">
        <v>26</v>
      </c>
      <c r="D212" t="s">
        <v>67</v>
      </c>
      <c r="E212" t="s">
        <v>46</v>
      </c>
      <c r="F212" t="s">
        <v>47</v>
      </c>
      <c r="G212" t="s">
        <v>48</v>
      </c>
      <c r="H212" t="s">
        <v>40</v>
      </c>
      <c r="I212" s="4">
        <v>1</v>
      </c>
      <c r="J212" s="4">
        <v>2</v>
      </c>
      <c r="K212" t="s">
        <v>36</v>
      </c>
      <c r="L212" s="4">
        <v>2022</v>
      </c>
      <c r="M212" s="5">
        <v>1000000</v>
      </c>
      <c r="N212" s="5">
        <v>1071172</v>
      </c>
      <c r="O212" s="5">
        <v>476747720364.70001</v>
      </c>
      <c r="P212" t="s">
        <v>37</v>
      </c>
      <c r="Q212" t="s">
        <v>45</v>
      </c>
    </row>
    <row r="213" spans="1:17" x14ac:dyDescent="0.45">
      <c r="A213" s="4">
        <v>5</v>
      </c>
      <c r="B213" t="s">
        <v>30</v>
      </c>
      <c r="C213" s="4">
        <v>26</v>
      </c>
      <c r="D213" t="s">
        <v>67</v>
      </c>
      <c r="E213" t="s">
        <v>38</v>
      </c>
      <c r="F213" t="s">
        <v>39</v>
      </c>
      <c r="G213" t="s">
        <v>34</v>
      </c>
      <c r="H213" t="s">
        <v>40</v>
      </c>
      <c r="I213" s="4">
        <v>1</v>
      </c>
      <c r="J213" s="4">
        <v>2</v>
      </c>
      <c r="K213" t="s">
        <v>36</v>
      </c>
      <c r="L213" s="4">
        <v>2023</v>
      </c>
      <c r="M213" s="5">
        <v>1138270</v>
      </c>
      <c r="N213" s="5">
        <v>1166148</v>
      </c>
      <c r="O213" s="5">
        <v>51088476388</v>
      </c>
      <c r="P213" t="s">
        <v>37</v>
      </c>
      <c r="Q213" t="s">
        <v>45</v>
      </c>
    </row>
    <row r="214" spans="1:17" x14ac:dyDescent="0.45">
      <c r="A214" s="4">
        <v>5</v>
      </c>
      <c r="B214" t="s">
        <v>30</v>
      </c>
      <c r="C214" s="4">
        <v>26</v>
      </c>
      <c r="D214" t="s">
        <v>67</v>
      </c>
      <c r="E214" t="s">
        <v>51</v>
      </c>
      <c r="F214" t="s">
        <v>52</v>
      </c>
      <c r="G214" t="s">
        <v>53</v>
      </c>
      <c r="H214" t="s">
        <v>54</v>
      </c>
      <c r="I214" s="4">
        <v>1</v>
      </c>
      <c r="J214" s="4">
        <v>3</v>
      </c>
      <c r="K214" t="s">
        <v>44</v>
      </c>
      <c r="L214" s="4">
        <v>2022</v>
      </c>
      <c r="M214" s="5">
        <v>763086</v>
      </c>
      <c r="N214" s="5">
        <v>817397</v>
      </c>
      <c r="O214" s="5">
        <v>31653185952.599998</v>
      </c>
      <c r="P214" t="s">
        <v>37</v>
      </c>
      <c r="Q214" t="s">
        <v>45</v>
      </c>
    </row>
    <row r="215" spans="1:17" x14ac:dyDescent="0.45">
      <c r="A215" s="4">
        <v>5</v>
      </c>
      <c r="B215" t="s">
        <v>30</v>
      </c>
      <c r="C215" s="4">
        <v>26</v>
      </c>
      <c r="D215" t="s">
        <v>67</v>
      </c>
      <c r="E215" t="s">
        <v>46</v>
      </c>
      <c r="F215" t="s">
        <v>47</v>
      </c>
      <c r="G215" t="s">
        <v>48</v>
      </c>
      <c r="H215" t="s">
        <v>40</v>
      </c>
      <c r="I215" s="4">
        <v>1</v>
      </c>
      <c r="J215" s="4">
        <v>2</v>
      </c>
      <c r="K215" t="s">
        <v>36</v>
      </c>
      <c r="L215" s="4">
        <v>2025</v>
      </c>
      <c r="M215" s="5">
        <v>1545000</v>
      </c>
      <c r="N215" s="5">
        <v>1508691</v>
      </c>
      <c r="O215" s="5"/>
      <c r="P215" t="s">
        <v>45</v>
      </c>
      <c r="Q215" t="s">
        <v>45</v>
      </c>
    </row>
    <row r="216" spans="1:17" x14ac:dyDescent="0.45">
      <c r="A216" s="4">
        <v>5</v>
      </c>
      <c r="B216" t="s">
        <v>30</v>
      </c>
      <c r="C216" s="4">
        <v>26</v>
      </c>
      <c r="D216" t="s">
        <v>67</v>
      </c>
      <c r="E216" t="s">
        <v>51</v>
      </c>
      <c r="F216" t="s">
        <v>52</v>
      </c>
      <c r="G216" t="s">
        <v>53</v>
      </c>
      <c r="H216" t="s">
        <v>54</v>
      </c>
      <c r="I216" s="4">
        <v>1</v>
      </c>
      <c r="J216" s="4">
        <v>3</v>
      </c>
      <c r="K216" t="s">
        <v>44</v>
      </c>
      <c r="L216" s="4">
        <v>2024</v>
      </c>
      <c r="M216" s="5">
        <v>741879</v>
      </c>
      <c r="N216" s="5">
        <v>741879</v>
      </c>
      <c r="O216" s="5">
        <v>31800428265.5</v>
      </c>
      <c r="P216" t="s">
        <v>37</v>
      </c>
      <c r="Q216" t="s">
        <v>45</v>
      </c>
    </row>
    <row r="217" spans="1:17" x14ac:dyDescent="0.45">
      <c r="A217" s="4">
        <v>5</v>
      </c>
      <c r="B217" t="s">
        <v>30</v>
      </c>
      <c r="C217" s="4">
        <v>26</v>
      </c>
      <c r="D217" t="s">
        <v>67</v>
      </c>
      <c r="E217" t="s">
        <v>32</v>
      </c>
      <c r="F217" t="s">
        <v>33</v>
      </c>
      <c r="G217" t="s">
        <v>34</v>
      </c>
      <c r="H217" t="s">
        <v>35</v>
      </c>
      <c r="I217" s="4">
        <v>2</v>
      </c>
      <c r="J217" s="4">
        <v>18</v>
      </c>
      <c r="K217" t="s">
        <v>66</v>
      </c>
      <c r="L217" s="4">
        <v>2024</v>
      </c>
      <c r="M217" s="5">
        <v>2000000</v>
      </c>
      <c r="N217" s="5">
        <v>1863559</v>
      </c>
      <c r="O217" s="5">
        <v>450119432068.90002</v>
      </c>
      <c r="P217" t="s">
        <v>37</v>
      </c>
      <c r="Q217" t="s">
        <v>45</v>
      </c>
    </row>
    <row r="218" spans="1:17" x14ac:dyDescent="0.45">
      <c r="A218" s="4">
        <v>5</v>
      </c>
      <c r="B218" t="s">
        <v>30</v>
      </c>
      <c r="C218" s="4">
        <v>26</v>
      </c>
      <c r="D218" t="s">
        <v>67</v>
      </c>
      <c r="E218" t="s">
        <v>55</v>
      </c>
      <c r="F218" t="s">
        <v>56</v>
      </c>
      <c r="G218" t="s">
        <v>57</v>
      </c>
      <c r="H218" t="s">
        <v>35</v>
      </c>
      <c r="I218" s="4">
        <v>2</v>
      </c>
      <c r="J218" s="4">
        <v>1</v>
      </c>
      <c r="K218" t="s">
        <v>65</v>
      </c>
      <c r="L218" s="4">
        <v>2023</v>
      </c>
      <c r="M218" s="5">
        <v>2000000</v>
      </c>
      <c r="N218" s="5">
        <v>1907597</v>
      </c>
      <c r="O218" s="5">
        <v>30777833600.700001</v>
      </c>
      <c r="P218" t="s">
        <v>37</v>
      </c>
      <c r="Q218" t="s">
        <v>45</v>
      </c>
    </row>
    <row r="219" spans="1:17" x14ac:dyDescent="0.45">
      <c r="A219" s="4">
        <v>5</v>
      </c>
      <c r="B219" t="s">
        <v>30</v>
      </c>
      <c r="C219" s="4">
        <v>26</v>
      </c>
      <c r="D219" t="s">
        <v>67</v>
      </c>
      <c r="E219" t="s">
        <v>58</v>
      </c>
      <c r="F219" t="s">
        <v>59</v>
      </c>
      <c r="G219" t="s">
        <v>57</v>
      </c>
      <c r="H219" t="s">
        <v>40</v>
      </c>
      <c r="I219" s="4">
        <v>1</v>
      </c>
      <c r="J219" s="4">
        <v>2</v>
      </c>
      <c r="K219" t="s">
        <v>36</v>
      </c>
      <c r="L219" s="4">
        <v>2022</v>
      </c>
      <c r="M219" s="5">
        <v>1819812</v>
      </c>
      <c r="N219" s="5">
        <v>1949331</v>
      </c>
      <c r="O219" s="5">
        <v>161989520721.20001</v>
      </c>
      <c r="P219" t="s">
        <v>37</v>
      </c>
      <c r="Q219" t="s">
        <v>45</v>
      </c>
    </row>
    <row r="220" spans="1:17" x14ac:dyDescent="0.45">
      <c r="A220" s="4">
        <v>5</v>
      </c>
      <c r="B220" t="s">
        <v>30</v>
      </c>
      <c r="C220" s="4">
        <v>26</v>
      </c>
      <c r="D220" t="s">
        <v>67</v>
      </c>
      <c r="E220" t="s">
        <v>55</v>
      </c>
      <c r="F220" t="s">
        <v>56</v>
      </c>
      <c r="G220" t="s">
        <v>57</v>
      </c>
      <c r="H220" t="s">
        <v>35</v>
      </c>
      <c r="I220" s="4">
        <v>2</v>
      </c>
      <c r="J220" s="4">
        <v>18</v>
      </c>
      <c r="K220" t="s">
        <v>66</v>
      </c>
      <c r="L220" s="4">
        <v>2024</v>
      </c>
      <c r="M220" s="5">
        <v>2100000</v>
      </c>
      <c r="N220" s="5">
        <v>1956737</v>
      </c>
      <c r="O220" s="5">
        <v>34189423545</v>
      </c>
      <c r="P220" t="s">
        <v>37</v>
      </c>
      <c r="Q220" t="s">
        <v>45</v>
      </c>
    </row>
    <row r="221" spans="1:17" x14ac:dyDescent="0.45">
      <c r="A221" s="4">
        <v>5</v>
      </c>
      <c r="B221" t="s">
        <v>30</v>
      </c>
      <c r="C221" s="4">
        <v>26</v>
      </c>
      <c r="D221" t="s">
        <v>67</v>
      </c>
      <c r="E221" t="s">
        <v>55</v>
      </c>
      <c r="F221" t="s">
        <v>56</v>
      </c>
      <c r="G221" t="s">
        <v>57</v>
      </c>
      <c r="H221" t="s">
        <v>35</v>
      </c>
      <c r="I221" s="4">
        <v>2</v>
      </c>
      <c r="J221" s="4">
        <v>18</v>
      </c>
      <c r="K221" t="s">
        <v>66</v>
      </c>
      <c r="L221" s="4">
        <v>2023</v>
      </c>
      <c r="M221" s="5">
        <v>2100000</v>
      </c>
      <c r="N221" s="5">
        <v>2002977</v>
      </c>
      <c r="O221" s="5">
        <v>30777833600.700001</v>
      </c>
      <c r="P221" t="s">
        <v>37</v>
      </c>
      <c r="Q221" t="s">
        <v>45</v>
      </c>
    </row>
    <row r="222" spans="1:17" x14ac:dyDescent="0.45">
      <c r="A222" s="4">
        <v>5</v>
      </c>
      <c r="B222" t="s">
        <v>30</v>
      </c>
      <c r="C222" s="4">
        <v>26</v>
      </c>
      <c r="D222" t="s">
        <v>67</v>
      </c>
      <c r="E222" t="s">
        <v>55</v>
      </c>
      <c r="F222" t="s">
        <v>56</v>
      </c>
      <c r="G222" t="s">
        <v>57</v>
      </c>
      <c r="H222" t="s">
        <v>35</v>
      </c>
      <c r="I222" s="4">
        <v>2</v>
      </c>
      <c r="J222" s="4">
        <v>1</v>
      </c>
      <c r="K222" t="s">
        <v>65</v>
      </c>
      <c r="L222" s="4">
        <v>2022</v>
      </c>
      <c r="M222" s="5">
        <v>2095000</v>
      </c>
      <c r="N222" s="5">
        <v>2095000</v>
      </c>
      <c r="O222" s="5">
        <v>24984568959.599998</v>
      </c>
      <c r="P222" t="s">
        <v>37</v>
      </c>
      <c r="Q222" t="s">
        <v>45</v>
      </c>
    </row>
    <row r="223" spans="1:17" x14ac:dyDescent="0.45">
      <c r="A223" s="4">
        <v>5</v>
      </c>
      <c r="B223" t="s">
        <v>30</v>
      </c>
      <c r="C223" s="4">
        <v>26</v>
      </c>
      <c r="D223" t="s">
        <v>67</v>
      </c>
      <c r="E223" t="s">
        <v>38</v>
      </c>
      <c r="F223" t="s">
        <v>39</v>
      </c>
      <c r="G223" t="s">
        <v>34</v>
      </c>
      <c r="H223" t="s">
        <v>40</v>
      </c>
      <c r="I223" s="4">
        <v>1</v>
      </c>
      <c r="J223" s="4">
        <v>2</v>
      </c>
      <c r="K223" t="s">
        <v>36</v>
      </c>
      <c r="L223" s="4">
        <v>2025</v>
      </c>
      <c r="M223" s="5">
        <v>2151000</v>
      </c>
      <c r="N223" s="5">
        <v>2100449</v>
      </c>
      <c r="O223" s="5"/>
      <c r="P223" t="s">
        <v>45</v>
      </c>
      <c r="Q223" t="s">
        <v>45</v>
      </c>
    </row>
    <row r="224" spans="1:17" x14ac:dyDescent="0.45">
      <c r="A224" s="4">
        <v>5</v>
      </c>
      <c r="B224" t="s">
        <v>30</v>
      </c>
      <c r="C224" s="4">
        <v>26</v>
      </c>
      <c r="D224" t="s">
        <v>67</v>
      </c>
      <c r="E224" t="s">
        <v>46</v>
      </c>
      <c r="F224" t="s">
        <v>47</v>
      </c>
      <c r="G224" t="s">
        <v>48</v>
      </c>
      <c r="H224" t="s">
        <v>40</v>
      </c>
      <c r="I224" s="4">
        <v>1</v>
      </c>
      <c r="J224" s="4">
        <v>18</v>
      </c>
      <c r="K224" t="s">
        <v>66</v>
      </c>
      <c r="L224" s="4">
        <v>2024</v>
      </c>
      <c r="M224" s="5">
        <v>2300000</v>
      </c>
      <c r="N224" s="5">
        <v>2143093</v>
      </c>
      <c r="O224" s="5">
        <v>389059911003.59998</v>
      </c>
      <c r="P224" t="s">
        <v>37</v>
      </c>
      <c r="Q224" t="s">
        <v>45</v>
      </c>
    </row>
    <row r="225" spans="1:17" x14ac:dyDescent="0.45">
      <c r="A225" s="4">
        <v>5</v>
      </c>
      <c r="B225" t="s">
        <v>30</v>
      </c>
      <c r="C225" s="4">
        <v>26</v>
      </c>
      <c r="D225" t="s">
        <v>67</v>
      </c>
      <c r="E225" t="s">
        <v>55</v>
      </c>
      <c r="F225" t="s">
        <v>56</v>
      </c>
      <c r="G225" t="s">
        <v>57</v>
      </c>
      <c r="H225" t="s">
        <v>35</v>
      </c>
      <c r="I225" s="4">
        <v>2</v>
      </c>
      <c r="J225" s="4">
        <v>18</v>
      </c>
      <c r="K225" t="s">
        <v>66</v>
      </c>
      <c r="L225" s="4">
        <v>2022</v>
      </c>
      <c r="M225" s="5">
        <v>2232000</v>
      </c>
      <c r="N225" s="5">
        <v>2232000</v>
      </c>
      <c r="O225" s="5">
        <v>24984568959.599998</v>
      </c>
      <c r="P225" t="s">
        <v>37</v>
      </c>
      <c r="Q225" t="s">
        <v>45</v>
      </c>
    </row>
    <row r="226" spans="1:17" x14ac:dyDescent="0.45">
      <c r="A226" s="4">
        <v>5</v>
      </c>
      <c r="B226" t="s">
        <v>30</v>
      </c>
      <c r="C226" s="4">
        <v>26</v>
      </c>
      <c r="D226" t="s">
        <v>67</v>
      </c>
      <c r="E226" t="s">
        <v>51</v>
      </c>
      <c r="F226" t="s">
        <v>52</v>
      </c>
      <c r="G226" t="s">
        <v>53</v>
      </c>
      <c r="H226" t="s">
        <v>54</v>
      </c>
      <c r="I226" s="4">
        <v>1</v>
      </c>
      <c r="J226" s="4">
        <v>3</v>
      </c>
      <c r="K226" t="s">
        <v>44</v>
      </c>
      <c r="L226" s="4">
        <v>2023</v>
      </c>
      <c r="M226" s="5">
        <v>377451</v>
      </c>
      <c r="N226" s="5">
        <v>386695</v>
      </c>
      <c r="O226" s="5">
        <v>30816367067</v>
      </c>
      <c r="P226" t="s">
        <v>37</v>
      </c>
      <c r="Q226" t="s">
        <v>45</v>
      </c>
    </row>
    <row r="227" spans="1:17" x14ac:dyDescent="0.45">
      <c r="A227" s="4">
        <v>5</v>
      </c>
      <c r="B227" t="s">
        <v>30</v>
      </c>
      <c r="C227" s="4">
        <v>26</v>
      </c>
      <c r="D227" t="s">
        <v>67</v>
      </c>
      <c r="E227" t="s">
        <v>51</v>
      </c>
      <c r="F227" t="s">
        <v>52</v>
      </c>
      <c r="G227" t="s">
        <v>53</v>
      </c>
      <c r="H227" t="s">
        <v>54</v>
      </c>
      <c r="I227" s="4">
        <v>1</v>
      </c>
      <c r="J227" s="4">
        <v>3</v>
      </c>
      <c r="K227" t="s">
        <v>44</v>
      </c>
      <c r="L227" s="4">
        <v>2021</v>
      </c>
      <c r="M227" s="5">
        <v>262521</v>
      </c>
      <c r="N227" s="5">
        <v>301088</v>
      </c>
      <c r="O227" s="5">
        <v>26109413521.299999</v>
      </c>
      <c r="P227" t="s">
        <v>37</v>
      </c>
      <c r="Q227" t="s">
        <v>45</v>
      </c>
    </row>
    <row r="228" spans="1:17" x14ac:dyDescent="0.45">
      <c r="A228" s="4">
        <v>5</v>
      </c>
      <c r="B228" t="s">
        <v>30</v>
      </c>
      <c r="C228" s="4">
        <v>26</v>
      </c>
      <c r="D228" t="s">
        <v>67</v>
      </c>
      <c r="E228" t="s">
        <v>51</v>
      </c>
      <c r="F228" t="s">
        <v>52</v>
      </c>
      <c r="G228" t="s">
        <v>53</v>
      </c>
      <c r="H228" t="s">
        <v>54</v>
      </c>
      <c r="I228" s="4">
        <v>1</v>
      </c>
      <c r="J228" s="4">
        <v>3</v>
      </c>
      <c r="K228" t="s">
        <v>44</v>
      </c>
      <c r="L228" s="4">
        <v>2025</v>
      </c>
      <c r="M228" s="5">
        <v>218787</v>
      </c>
      <c r="N228" s="5">
        <v>213646</v>
      </c>
      <c r="O228" s="5"/>
      <c r="P228" t="s">
        <v>45</v>
      </c>
      <c r="Q228" t="s">
        <v>45</v>
      </c>
    </row>
    <row r="229" spans="1:17" x14ac:dyDescent="0.45">
      <c r="A229" s="4">
        <v>5</v>
      </c>
      <c r="B229" t="s">
        <v>30</v>
      </c>
      <c r="C229" s="4">
        <v>26</v>
      </c>
      <c r="D229" t="s">
        <v>67</v>
      </c>
      <c r="E229" t="s">
        <v>51</v>
      </c>
      <c r="F229" t="s">
        <v>52</v>
      </c>
      <c r="G229" t="s">
        <v>53</v>
      </c>
      <c r="H229" t="s">
        <v>54</v>
      </c>
      <c r="I229" s="4">
        <v>1</v>
      </c>
      <c r="J229" s="4">
        <v>2</v>
      </c>
      <c r="K229" t="s">
        <v>36</v>
      </c>
      <c r="L229" s="4">
        <v>2021</v>
      </c>
      <c r="M229" s="5">
        <v>2363726</v>
      </c>
      <c r="N229" s="5">
        <v>2710969</v>
      </c>
      <c r="O229" s="5">
        <v>26109413521.299999</v>
      </c>
      <c r="P229" t="s">
        <v>37</v>
      </c>
      <c r="Q229" t="s">
        <v>45</v>
      </c>
    </row>
    <row r="230" spans="1:17" x14ac:dyDescent="0.45">
      <c r="A230" s="4">
        <v>5</v>
      </c>
      <c r="B230" t="s">
        <v>30</v>
      </c>
      <c r="C230" s="4">
        <v>26</v>
      </c>
      <c r="D230" t="s">
        <v>67</v>
      </c>
      <c r="E230" t="s">
        <v>51</v>
      </c>
      <c r="F230" t="s">
        <v>52</v>
      </c>
      <c r="G230" t="s">
        <v>53</v>
      </c>
      <c r="H230" t="s">
        <v>54</v>
      </c>
      <c r="I230" s="4">
        <v>1</v>
      </c>
      <c r="J230" s="4">
        <v>18</v>
      </c>
      <c r="K230" t="s">
        <v>66</v>
      </c>
      <c r="L230" s="4">
        <v>2021</v>
      </c>
      <c r="M230" s="5">
        <v>3000000</v>
      </c>
      <c r="N230" s="5">
        <v>3207863</v>
      </c>
      <c r="O230" s="5">
        <v>26109413521.299999</v>
      </c>
      <c r="P230" t="s">
        <v>37</v>
      </c>
      <c r="Q230" t="s">
        <v>45</v>
      </c>
    </row>
    <row r="231" spans="1:17" x14ac:dyDescent="0.45">
      <c r="A231" s="4">
        <v>5</v>
      </c>
      <c r="B231" t="s">
        <v>30</v>
      </c>
      <c r="C231" s="4">
        <v>26</v>
      </c>
      <c r="D231" t="s">
        <v>67</v>
      </c>
      <c r="E231" t="s">
        <v>55</v>
      </c>
      <c r="F231" t="s">
        <v>56</v>
      </c>
      <c r="G231" t="s">
        <v>57</v>
      </c>
      <c r="H231" t="s">
        <v>35</v>
      </c>
      <c r="I231" s="4">
        <v>2</v>
      </c>
      <c r="J231" s="4">
        <v>1</v>
      </c>
      <c r="K231" t="s">
        <v>65</v>
      </c>
      <c r="L231" s="4">
        <v>2021</v>
      </c>
      <c r="M231" s="5">
        <v>3224000</v>
      </c>
      <c r="N231" s="5">
        <v>3447383</v>
      </c>
      <c r="O231" s="5">
        <v>18853115588.799999</v>
      </c>
      <c r="P231" t="s">
        <v>37</v>
      </c>
      <c r="Q231" t="s">
        <v>45</v>
      </c>
    </row>
    <row r="232" spans="1:17" x14ac:dyDescent="0.45">
      <c r="A232" s="4">
        <v>5</v>
      </c>
      <c r="B232" t="s">
        <v>30</v>
      </c>
      <c r="C232" s="4">
        <v>26</v>
      </c>
      <c r="D232" t="s">
        <v>67</v>
      </c>
      <c r="E232" t="s">
        <v>46</v>
      </c>
      <c r="F232" t="s">
        <v>47</v>
      </c>
      <c r="G232" t="s">
        <v>48</v>
      </c>
      <c r="H232" t="s">
        <v>40</v>
      </c>
      <c r="I232" s="4">
        <v>1</v>
      </c>
      <c r="J232" s="4">
        <v>2</v>
      </c>
      <c r="K232" t="s">
        <v>36</v>
      </c>
      <c r="L232" s="4">
        <v>2024</v>
      </c>
      <c r="M232" s="5">
        <v>3680911</v>
      </c>
      <c r="N232" s="5">
        <v>3680911</v>
      </c>
      <c r="O232" s="5">
        <v>389059911003.59998</v>
      </c>
      <c r="P232" t="s">
        <v>37</v>
      </c>
      <c r="Q232" t="s">
        <v>45</v>
      </c>
    </row>
    <row r="233" spans="1:17" x14ac:dyDescent="0.45">
      <c r="A233" s="4">
        <v>5</v>
      </c>
      <c r="B233" t="s">
        <v>30</v>
      </c>
      <c r="C233" s="4">
        <v>26</v>
      </c>
      <c r="D233" t="s">
        <v>67</v>
      </c>
      <c r="E233" t="s">
        <v>58</v>
      </c>
      <c r="F233" t="s">
        <v>59</v>
      </c>
      <c r="G233" t="s">
        <v>57</v>
      </c>
      <c r="H233" t="s">
        <v>40</v>
      </c>
      <c r="I233" s="4">
        <v>1</v>
      </c>
      <c r="J233" s="4">
        <v>3</v>
      </c>
      <c r="K233" t="s">
        <v>44</v>
      </c>
      <c r="L233" s="4">
        <v>2025</v>
      </c>
      <c r="M233" s="5">
        <v>37401040</v>
      </c>
      <c r="N233" s="5">
        <v>36522081</v>
      </c>
      <c r="O233" s="5"/>
      <c r="P233" t="s">
        <v>45</v>
      </c>
      <c r="Q233" t="s">
        <v>45</v>
      </c>
    </row>
    <row r="234" spans="1:17" x14ac:dyDescent="0.45">
      <c r="A234" s="4">
        <v>5</v>
      </c>
      <c r="B234" t="s">
        <v>30</v>
      </c>
      <c r="C234" s="4">
        <v>26</v>
      </c>
      <c r="D234" t="s">
        <v>67</v>
      </c>
      <c r="E234" t="s">
        <v>38</v>
      </c>
      <c r="F234" t="s">
        <v>39</v>
      </c>
      <c r="G234" t="s">
        <v>34</v>
      </c>
      <c r="H234" t="s">
        <v>40</v>
      </c>
      <c r="I234" s="4">
        <v>1</v>
      </c>
      <c r="J234" s="4">
        <v>2</v>
      </c>
      <c r="K234" t="s">
        <v>36</v>
      </c>
      <c r="L234" s="4">
        <v>2021</v>
      </c>
      <c r="M234" s="5">
        <v>3279448</v>
      </c>
      <c r="N234" s="5">
        <v>3761216</v>
      </c>
      <c r="O234" s="5">
        <v>46296100140.800003</v>
      </c>
      <c r="P234" t="s">
        <v>37</v>
      </c>
      <c r="Q234" t="s">
        <v>45</v>
      </c>
    </row>
    <row r="235" spans="1:17" x14ac:dyDescent="0.45">
      <c r="A235" s="4">
        <v>5</v>
      </c>
      <c r="B235" t="s">
        <v>30</v>
      </c>
      <c r="C235" s="4">
        <v>26</v>
      </c>
      <c r="D235" t="s">
        <v>67</v>
      </c>
      <c r="E235" t="s">
        <v>58</v>
      </c>
      <c r="F235" t="s">
        <v>59</v>
      </c>
      <c r="G235" t="s">
        <v>57</v>
      </c>
      <c r="H235" t="s">
        <v>40</v>
      </c>
      <c r="I235" s="4">
        <v>1</v>
      </c>
      <c r="J235" s="4">
        <v>3</v>
      </c>
      <c r="K235" t="s">
        <v>44</v>
      </c>
      <c r="L235" s="4">
        <v>2024</v>
      </c>
      <c r="M235" s="5">
        <v>20187870</v>
      </c>
      <c r="N235" s="5">
        <v>20187870</v>
      </c>
      <c r="O235" s="5">
        <v>190741262414.70001</v>
      </c>
      <c r="P235" t="s">
        <v>37</v>
      </c>
      <c r="Q235" t="s">
        <v>45</v>
      </c>
    </row>
    <row r="236" spans="1:17" x14ac:dyDescent="0.45">
      <c r="A236" s="4">
        <v>5</v>
      </c>
      <c r="B236" t="s">
        <v>30</v>
      </c>
      <c r="C236" s="4">
        <v>26</v>
      </c>
      <c r="D236" t="s">
        <v>67</v>
      </c>
      <c r="E236" t="s">
        <v>58</v>
      </c>
      <c r="F236" t="s">
        <v>59</v>
      </c>
      <c r="G236" t="s">
        <v>57</v>
      </c>
      <c r="H236" t="s">
        <v>40</v>
      </c>
      <c r="I236" s="4">
        <v>1</v>
      </c>
      <c r="J236" s="4">
        <v>3</v>
      </c>
      <c r="K236" t="s">
        <v>44</v>
      </c>
      <c r="L236" s="4">
        <v>2021</v>
      </c>
      <c r="M236" s="5">
        <v>11256951</v>
      </c>
      <c r="N236" s="5">
        <v>12910652</v>
      </c>
      <c r="O236" s="5">
        <v>199765859570.89999</v>
      </c>
      <c r="P236" t="s">
        <v>37</v>
      </c>
      <c r="Q236" t="s">
        <v>45</v>
      </c>
    </row>
    <row r="237" spans="1:17" x14ac:dyDescent="0.45">
      <c r="A237" s="4">
        <v>5</v>
      </c>
      <c r="B237" t="s">
        <v>30</v>
      </c>
      <c r="C237" s="4">
        <v>26</v>
      </c>
      <c r="D237" t="s">
        <v>67</v>
      </c>
      <c r="E237" t="s">
        <v>58</v>
      </c>
      <c r="F237" t="s">
        <v>59</v>
      </c>
      <c r="G237" t="s">
        <v>57</v>
      </c>
      <c r="H237" t="s">
        <v>40</v>
      </c>
      <c r="I237" s="4">
        <v>1</v>
      </c>
      <c r="J237" s="4">
        <v>3</v>
      </c>
      <c r="K237" t="s">
        <v>44</v>
      </c>
      <c r="L237" s="4">
        <v>2023</v>
      </c>
      <c r="M237" s="5">
        <v>11125700</v>
      </c>
      <c r="N237" s="5">
        <v>11398194</v>
      </c>
      <c r="O237" s="5">
        <v>181221517868.70001</v>
      </c>
      <c r="P237" t="s">
        <v>37</v>
      </c>
      <c r="Q237" t="s">
        <v>45</v>
      </c>
    </row>
    <row r="238" spans="1:17" x14ac:dyDescent="0.45">
      <c r="A238" s="4">
        <v>5</v>
      </c>
      <c r="B238" t="s">
        <v>30</v>
      </c>
      <c r="C238" s="4">
        <v>26</v>
      </c>
      <c r="D238" t="s">
        <v>67</v>
      </c>
      <c r="E238" t="s">
        <v>58</v>
      </c>
      <c r="F238" t="s">
        <v>59</v>
      </c>
      <c r="G238" t="s">
        <v>57</v>
      </c>
      <c r="H238" t="s">
        <v>40</v>
      </c>
      <c r="I238" s="4">
        <v>1</v>
      </c>
      <c r="J238" s="4">
        <v>1</v>
      </c>
      <c r="K238" t="s">
        <v>65</v>
      </c>
      <c r="L238" s="4">
        <v>2021</v>
      </c>
      <c r="M238" s="5">
        <v>4540000</v>
      </c>
      <c r="N238" s="5">
        <v>4854566</v>
      </c>
      <c r="O238" s="5">
        <v>199765859570.89999</v>
      </c>
      <c r="P238" t="s">
        <v>37</v>
      </c>
      <c r="Q238" t="s">
        <v>45</v>
      </c>
    </row>
    <row r="239" spans="1:17" x14ac:dyDescent="0.45">
      <c r="A239" s="4">
        <v>5</v>
      </c>
      <c r="B239" t="s">
        <v>30</v>
      </c>
      <c r="C239" s="4">
        <v>26</v>
      </c>
      <c r="D239" t="s">
        <v>67</v>
      </c>
      <c r="E239" t="s">
        <v>46</v>
      </c>
      <c r="F239" t="s">
        <v>47</v>
      </c>
      <c r="G239" t="s">
        <v>48</v>
      </c>
      <c r="H239" t="s">
        <v>40</v>
      </c>
      <c r="I239" s="4">
        <v>1</v>
      </c>
      <c r="J239" s="4">
        <v>2</v>
      </c>
      <c r="K239" t="s">
        <v>36</v>
      </c>
      <c r="L239" s="4">
        <v>2023</v>
      </c>
      <c r="M239" s="5">
        <v>5378632</v>
      </c>
      <c r="N239" s="5">
        <v>5510366</v>
      </c>
      <c r="O239" s="5">
        <v>395926075163</v>
      </c>
      <c r="P239" t="s">
        <v>37</v>
      </c>
      <c r="Q239" t="s">
        <v>45</v>
      </c>
    </row>
    <row r="240" spans="1:17" x14ac:dyDescent="0.45">
      <c r="A240" s="4">
        <v>5</v>
      </c>
      <c r="B240" t="s">
        <v>30</v>
      </c>
      <c r="C240" s="4">
        <v>26</v>
      </c>
      <c r="D240" t="s">
        <v>67</v>
      </c>
      <c r="E240" t="s">
        <v>58</v>
      </c>
      <c r="F240" t="s">
        <v>59</v>
      </c>
      <c r="G240" t="s">
        <v>57</v>
      </c>
      <c r="H240" t="s">
        <v>40</v>
      </c>
      <c r="I240" s="4">
        <v>1</v>
      </c>
      <c r="J240" s="4">
        <v>18</v>
      </c>
      <c r="K240" t="s">
        <v>66</v>
      </c>
      <c r="L240" s="4">
        <v>2023</v>
      </c>
      <c r="M240" s="5">
        <v>6336000</v>
      </c>
      <c r="N240" s="5">
        <v>6043267</v>
      </c>
      <c r="O240" s="5">
        <v>181221517868.70001</v>
      </c>
      <c r="P240" t="s">
        <v>37</v>
      </c>
      <c r="Q240" t="s">
        <v>45</v>
      </c>
    </row>
    <row r="241" spans="1:17" x14ac:dyDescent="0.45">
      <c r="A241" s="4">
        <v>5</v>
      </c>
      <c r="B241" t="s">
        <v>30</v>
      </c>
      <c r="C241" s="4">
        <v>26</v>
      </c>
      <c r="D241" t="s">
        <v>67</v>
      </c>
      <c r="E241" t="s">
        <v>58</v>
      </c>
      <c r="F241" t="s">
        <v>59</v>
      </c>
      <c r="G241" t="s">
        <v>57</v>
      </c>
      <c r="H241" t="s">
        <v>40</v>
      </c>
      <c r="I241" s="4">
        <v>1</v>
      </c>
      <c r="J241" s="4">
        <v>3</v>
      </c>
      <c r="K241" t="s">
        <v>44</v>
      </c>
      <c r="L241" s="4">
        <v>2022</v>
      </c>
      <c r="M241" s="5">
        <v>3451708</v>
      </c>
      <c r="N241" s="5">
        <v>3697370</v>
      </c>
      <c r="O241" s="5">
        <v>161989520721.20001</v>
      </c>
      <c r="P241" t="s">
        <v>37</v>
      </c>
      <c r="Q241" t="s">
        <v>45</v>
      </c>
    </row>
    <row r="242" spans="1:17" x14ac:dyDescent="0.45">
      <c r="A242" s="4">
        <v>5</v>
      </c>
      <c r="B242" t="s">
        <v>30</v>
      </c>
      <c r="C242" s="4">
        <v>26</v>
      </c>
      <c r="D242" t="s">
        <v>67</v>
      </c>
      <c r="E242" t="s">
        <v>38</v>
      </c>
      <c r="F242" t="s">
        <v>39</v>
      </c>
      <c r="G242" t="s">
        <v>34</v>
      </c>
      <c r="H242" t="s">
        <v>40</v>
      </c>
      <c r="I242" s="4">
        <v>1</v>
      </c>
      <c r="J242" s="4">
        <v>1</v>
      </c>
      <c r="K242" t="s">
        <v>65</v>
      </c>
      <c r="L242" s="4">
        <v>2023</v>
      </c>
      <c r="M242" s="5">
        <v>8000000</v>
      </c>
      <c r="N242" s="5">
        <v>7630387</v>
      </c>
      <c r="O242" s="5">
        <v>51088476388</v>
      </c>
      <c r="P242" t="s">
        <v>37</v>
      </c>
      <c r="Q242" t="s">
        <v>45</v>
      </c>
    </row>
    <row r="243" spans="1:17" x14ac:dyDescent="0.45">
      <c r="A243" s="4">
        <v>5</v>
      </c>
      <c r="B243" t="s">
        <v>30</v>
      </c>
      <c r="C243" s="4">
        <v>26</v>
      </c>
      <c r="D243" t="s">
        <v>67</v>
      </c>
      <c r="E243" t="s">
        <v>58</v>
      </c>
      <c r="F243" t="s">
        <v>59</v>
      </c>
      <c r="G243" t="s">
        <v>57</v>
      </c>
      <c r="H243" t="s">
        <v>40</v>
      </c>
      <c r="I243" s="4">
        <v>1</v>
      </c>
      <c r="J243" s="4">
        <v>18</v>
      </c>
      <c r="K243" t="s">
        <v>66</v>
      </c>
      <c r="L243" s="4">
        <v>2024</v>
      </c>
      <c r="M243" s="5">
        <v>8519000</v>
      </c>
      <c r="N243" s="5">
        <v>7937830</v>
      </c>
      <c r="O243" s="5">
        <v>190741262414.70001</v>
      </c>
      <c r="P243" t="s">
        <v>37</v>
      </c>
      <c r="Q243" t="s">
        <v>45</v>
      </c>
    </row>
    <row r="244" spans="1:17" x14ac:dyDescent="0.45">
      <c r="A244" s="4">
        <v>5</v>
      </c>
      <c r="B244" t="s">
        <v>30</v>
      </c>
      <c r="C244" s="4">
        <v>26</v>
      </c>
      <c r="D244" t="s">
        <v>67</v>
      </c>
      <c r="E244" t="s">
        <v>58</v>
      </c>
      <c r="F244" t="s">
        <v>59</v>
      </c>
      <c r="G244" t="s">
        <v>57</v>
      </c>
      <c r="H244" t="s">
        <v>40</v>
      </c>
      <c r="I244" s="4">
        <v>1</v>
      </c>
      <c r="J244" s="4">
        <v>18</v>
      </c>
      <c r="K244" t="s">
        <v>66</v>
      </c>
      <c r="L244" s="4">
        <v>2022</v>
      </c>
      <c r="M244" s="5">
        <v>9580000</v>
      </c>
      <c r="N244" s="5">
        <v>9580000</v>
      </c>
      <c r="O244" s="5">
        <v>161989520721.20001</v>
      </c>
      <c r="P244" t="s">
        <v>37</v>
      </c>
      <c r="Q244" t="s">
        <v>45</v>
      </c>
    </row>
    <row r="245" spans="1:17" x14ac:dyDescent="0.45">
      <c r="A245" s="4">
        <v>5</v>
      </c>
      <c r="B245" t="s">
        <v>30</v>
      </c>
      <c r="C245" s="4">
        <v>26</v>
      </c>
      <c r="D245" t="s">
        <v>67</v>
      </c>
      <c r="E245" t="s">
        <v>58</v>
      </c>
      <c r="F245" t="s">
        <v>59</v>
      </c>
      <c r="G245" t="s">
        <v>57</v>
      </c>
      <c r="H245" t="s">
        <v>40</v>
      </c>
      <c r="I245" s="4">
        <v>1</v>
      </c>
      <c r="J245" s="4">
        <v>18</v>
      </c>
      <c r="K245" t="s">
        <v>66</v>
      </c>
      <c r="L245" s="4">
        <v>2021</v>
      </c>
      <c r="M245" s="5">
        <v>9509000</v>
      </c>
      <c r="N245" s="5">
        <v>10167856</v>
      </c>
      <c r="O245" s="5">
        <v>199765859570.89999</v>
      </c>
      <c r="P245" t="s">
        <v>37</v>
      </c>
      <c r="Q245" t="s">
        <v>45</v>
      </c>
    </row>
    <row r="246" spans="1:17" x14ac:dyDescent="0.45">
      <c r="A246" s="4">
        <v>5</v>
      </c>
      <c r="B246" t="s">
        <v>30</v>
      </c>
      <c r="C246" s="4">
        <v>26</v>
      </c>
      <c r="D246" t="s">
        <v>67</v>
      </c>
      <c r="E246" t="s">
        <v>46</v>
      </c>
      <c r="F246" t="s">
        <v>47</v>
      </c>
      <c r="G246" t="s">
        <v>48</v>
      </c>
      <c r="H246" t="s">
        <v>40</v>
      </c>
      <c r="I246" s="4">
        <v>1</v>
      </c>
      <c r="J246" s="4">
        <v>2</v>
      </c>
      <c r="K246" t="s">
        <v>36</v>
      </c>
      <c r="L246" s="4">
        <v>2021</v>
      </c>
      <c r="M246" s="5">
        <v>10223757</v>
      </c>
      <c r="N246" s="5">
        <v>11725679</v>
      </c>
      <c r="O246" s="5">
        <v>424671765455.70001</v>
      </c>
      <c r="P246" t="s">
        <v>37</v>
      </c>
      <c r="Q246" t="s">
        <v>45</v>
      </c>
    </row>
    <row r="247" spans="1:17" x14ac:dyDescent="0.45">
      <c r="A247" s="4">
        <v>5</v>
      </c>
      <c r="B247" t="s">
        <v>30</v>
      </c>
      <c r="C247" s="4">
        <v>26</v>
      </c>
      <c r="D247" t="s">
        <v>67</v>
      </c>
      <c r="E247" t="s">
        <v>58</v>
      </c>
      <c r="F247" t="s">
        <v>59</v>
      </c>
      <c r="G247" t="s">
        <v>57</v>
      </c>
      <c r="H247" t="s">
        <v>40</v>
      </c>
      <c r="I247" s="4">
        <v>1</v>
      </c>
      <c r="J247" s="4">
        <v>2</v>
      </c>
      <c r="K247" t="s">
        <v>36</v>
      </c>
      <c r="L247" s="4">
        <v>2021</v>
      </c>
      <c r="M247" s="5">
        <v>11498432</v>
      </c>
      <c r="N247" s="5">
        <v>13187609</v>
      </c>
      <c r="O247" s="5">
        <v>199765859570.89999</v>
      </c>
      <c r="P247" t="s">
        <v>37</v>
      </c>
      <c r="Q247" t="s">
        <v>45</v>
      </c>
    </row>
    <row r="248" spans="1:17" x14ac:dyDescent="0.45">
      <c r="A248" s="4">
        <v>5</v>
      </c>
      <c r="B248" t="s">
        <v>30</v>
      </c>
      <c r="C248" s="4">
        <v>26</v>
      </c>
      <c r="D248" t="s">
        <v>67</v>
      </c>
      <c r="E248" t="s">
        <v>38</v>
      </c>
      <c r="F248" t="s">
        <v>39</v>
      </c>
      <c r="G248" t="s">
        <v>34</v>
      </c>
      <c r="H248" t="s">
        <v>40</v>
      </c>
      <c r="I248" s="4">
        <v>1</v>
      </c>
      <c r="J248" s="4">
        <v>18</v>
      </c>
      <c r="K248" t="s">
        <v>66</v>
      </c>
      <c r="L248" s="4">
        <v>2021</v>
      </c>
      <c r="M248" s="5">
        <v>15000000</v>
      </c>
      <c r="N248" s="5">
        <v>16039314</v>
      </c>
      <c r="O248" s="5">
        <v>46296100140.800003</v>
      </c>
      <c r="P248" t="s">
        <v>37</v>
      </c>
      <c r="Q248" t="s">
        <v>45</v>
      </c>
    </row>
    <row r="249" spans="1:17" x14ac:dyDescent="0.45">
      <c r="A249" s="4">
        <v>5</v>
      </c>
      <c r="B249" t="s">
        <v>30</v>
      </c>
      <c r="C249" s="4">
        <v>26</v>
      </c>
      <c r="D249" t="s">
        <v>67</v>
      </c>
      <c r="E249" t="s">
        <v>58</v>
      </c>
      <c r="F249" t="s">
        <v>59</v>
      </c>
      <c r="G249" t="s">
        <v>57</v>
      </c>
      <c r="H249" t="s">
        <v>40</v>
      </c>
      <c r="I249" s="4">
        <v>1</v>
      </c>
      <c r="J249" s="4">
        <v>2</v>
      </c>
      <c r="K249" t="s">
        <v>36</v>
      </c>
      <c r="L249" s="4">
        <v>2023</v>
      </c>
      <c r="M249" s="5">
        <v>17626776</v>
      </c>
      <c r="N249" s="5">
        <v>18058493</v>
      </c>
      <c r="O249" s="5">
        <v>181221517868.70001</v>
      </c>
      <c r="P249" t="s">
        <v>37</v>
      </c>
      <c r="Q249" t="s">
        <v>45</v>
      </c>
    </row>
    <row r="250" spans="1:17" x14ac:dyDescent="0.45">
      <c r="A250" s="4">
        <v>5</v>
      </c>
      <c r="B250" t="s">
        <v>30</v>
      </c>
      <c r="C250" s="4">
        <v>26</v>
      </c>
      <c r="D250" t="s">
        <v>67</v>
      </c>
      <c r="E250" t="s">
        <v>58</v>
      </c>
      <c r="F250" t="s">
        <v>59</v>
      </c>
      <c r="G250" t="s">
        <v>57</v>
      </c>
      <c r="H250" t="s">
        <v>40</v>
      </c>
      <c r="I250" s="4">
        <v>1</v>
      </c>
      <c r="J250" s="4">
        <v>2</v>
      </c>
      <c r="K250" t="s">
        <v>36</v>
      </c>
      <c r="L250" s="4">
        <v>2024</v>
      </c>
      <c r="M250" s="5">
        <v>81460714</v>
      </c>
      <c r="N250" s="5">
        <v>81460714</v>
      </c>
      <c r="O250" s="5">
        <v>190741262414.70001</v>
      </c>
      <c r="P250" t="s">
        <v>37</v>
      </c>
      <c r="Q250" t="s">
        <v>45</v>
      </c>
    </row>
  </sheetData>
  <conditionalFormatting sqref="P2:P250">
    <cfRule type="cellIs" dxfId="4" priority="2" operator="equal">
      <formula>"No"</formula>
    </cfRule>
  </conditionalFormatting>
  <conditionalFormatting sqref="Q2:Q250">
    <cfRule type="cellIs" dxfId="3" priority="1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showGridLines="0" workbookViewId="0">
      <selection activeCell="B3" sqref="B3"/>
    </sheetView>
  </sheetViews>
  <sheetFormatPr defaultRowHeight="14.25" x14ac:dyDescent="0.45"/>
  <cols>
    <col min="1" max="1" width="15" customWidth="1"/>
    <col min="2" max="2" width="18" customWidth="1"/>
    <col min="3" max="3" width="26" customWidth="1"/>
    <col min="4" max="4" width="23" customWidth="1"/>
    <col min="5" max="5" width="13" customWidth="1"/>
    <col min="6" max="6" width="28" customWidth="1"/>
    <col min="7" max="7" width="21" customWidth="1"/>
    <col min="8" max="8" width="17" customWidth="1"/>
    <col min="9" max="10" width="19" customWidth="1"/>
    <col min="11" max="11" width="16" customWidth="1"/>
    <col min="12" max="16" width="28" customWidth="1"/>
  </cols>
  <sheetData>
    <row r="1" spans="1:19" ht="24" customHeight="1" x14ac:dyDescent="0.45">
      <c r="A1" s="3" t="s">
        <v>19</v>
      </c>
      <c r="B1" s="3" t="s">
        <v>18</v>
      </c>
      <c r="C1" s="3" t="s">
        <v>20</v>
      </c>
      <c r="D1" s="3" t="s">
        <v>21</v>
      </c>
      <c r="E1" s="3" t="s">
        <v>24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27</v>
      </c>
      <c r="K1" s="3" t="s">
        <v>28</v>
      </c>
      <c r="L1" s="3" t="s">
        <v>72</v>
      </c>
      <c r="M1" s="3" t="s">
        <v>73</v>
      </c>
      <c r="N1" s="3" t="s">
        <v>74</v>
      </c>
      <c r="O1" s="3" t="s">
        <v>75</v>
      </c>
      <c r="P1" s="3" t="s">
        <v>76</v>
      </c>
      <c r="Q1" s="3" t="s">
        <v>77</v>
      </c>
      <c r="R1" s="3" t="s">
        <v>78</v>
      </c>
      <c r="S1" s="3" t="s">
        <v>79</v>
      </c>
    </row>
    <row r="2" spans="1:19" x14ac:dyDescent="0.45">
      <c r="A2" t="s">
        <v>48</v>
      </c>
      <c r="B2" t="s">
        <v>47</v>
      </c>
      <c r="C2" t="s">
        <v>40</v>
      </c>
      <c r="D2">
        <v>1</v>
      </c>
      <c r="E2">
        <v>2021</v>
      </c>
      <c r="F2" s="5">
        <v>500000</v>
      </c>
      <c r="G2" s="5">
        <v>10400000</v>
      </c>
      <c r="H2" s="5">
        <v>40227526</v>
      </c>
      <c r="I2" s="5">
        <v>84434076</v>
      </c>
      <c r="J2" s="5">
        <v>424671765455.70001</v>
      </c>
      <c r="K2" t="s">
        <v>37</v>
      </c>
      <c r="L2" s="5">
        <v>7470298</v>
      </c>
      <c r="M2" s="5">
        <v>4189</v>
      </c>
      <c r="N2" s="5">
        <v>76959589</v>
      </c>
      <c r="O2" s="5">
        <v>0</v>
      </c>
      <c r="P2" s="5">
        <v>0</v>
      </c>
      <c r="Q2" s="6" t="str">
        <f t="shared" ref="Q2:Q46" si="0">IF(OR(B2&lt;&gt;$B1,J2="",J1=""),"",(J2/J1)-1)</f>
        <v/>
      </c>
      <c r="R2" s="6">
        <f t="shared" ref="R2:R46" si="1">IFERROR(I2/H2,"")</f>
        <v>2.0989129681999334</v>
      </c>
      <c r="S2" s="7">
        <f t="shared" ref="S2:S46" si="2">IFERROR(I2/J2,"")</f>
        <v>1.9882196761867799E-4</v>
      </c>
    </row>
    <row r="3" spans="1:19" x14ac:dyDescent="0.45">
      <c r="A3" t="s">
        <v>48</v>
      </c>
      <c r="B3" t="s">
        <v>47</v>
      </c>
      <c r="C3" t="s">
        <v>40</v>
      </c>
      <c r="D3">
        <v>1</v>
      </c>
      <c r="E3">
        <v>2022</v>
      </c>
      <c r="F3" s="5">
        <v>4150000</v>
      </c>
      <c r="G3" s="5">
        <v>15000000</v>
      </c>
      <c r="H3" s="5">
        <v>12796052</v>
      </c>
      <c r="I3" s="5">
        <v>31108826</v>
      </c>
      <c r="J3" s="5">
        <v>476747720364.70001</v>
      </c>
      <c r="K3" t="s">
        <v>37</v>
      </c>
      <c r="L3" s="5">
        <v>22281217</v>
      </c>
      <c r="M3" s="5">
        <v>26497</v>
      </c>
      <c r="N3" s="5">
        <v>8801112</v>
      </c>
      <c r="O3" s="5">
        <v>0</v>
      </c>
      <c r="P3" s="5">
        <v>0</v>
      </c>
      <c r="Q3" s="6">
        <f t="shared" si="0"/>
        <v>0.12262636498359902</v>
      </c>
      <c r="R3" s="6">
        <f t="shared" si="1"/>
        <v>2.4311268819476508</v>
      </c>
      <c r="S3" s="7">
        <f t="shared" si="2"/>
        <v>6.5252175671028971E-5</v>
      </c>
    </row>
    <row r="4" spans="1:19" x14ac:dyDescent="0.45">
      <c r="A4" t="s">
        <v>48</v>
      </c>
      <c r="B4" t="s">
        <v>47</v>
      </c>
      <c r="C4" t="s">
        <v>40</v>
      </c>
      <c r="D4">
        <v>1</v>
      </c>
      <c r="E4">
        <v>2023</v>
      </c>
      <c r="F4" s="5">
        <v>0</v>
      </c>
      <c r="G4" s="5">
        <v>17000000</v>
      </c>
      <c r="H4" s="5">
        <v>31433912</v>
      </c>
      <c r="I4" s="5">
        <v>31246324</v>
      </c>
      <c r="J4" s="5">
        <v>395926075163</v>
      </c>
      <c r="K4" t="s">
        <v>37</v>
      </c>
      <c r="L4" s="5">
        <v>22501369</v>
      </c>
      <c r="M4" s="5">
        <v>5970136</v>
      </c>
      <c r="N4" s="5">
        <v>2767319</v>
      </c>
      <c r="O4" s="5">
        <v>7500</v>
      </c>
      <c r="P4" s="5">
        <v>0</v>
      </c>
      <c r="Q4" s="6">
        <f t="shared" si="0"/>
        <v>-0.16952707217954499</v>
      </c>
      <c r="R4" s="6">
        <f t="shared" si="1"/>
        <v>0.99403230498322959</v>
      </c>
      <c r="S4" s="7">
        <f t="shared" si="2"/>
        <v>7.8919591206858772E-5</v>
      </c>
    </row>
    <row r="5" spans="1:19" x14ac:dyDescent="0.45">
      <c r="A5" t="s">
        <v>48</v>
      </c>
      <c r="B5" t="s">
        <v>47</v>
      </c>
      <c r="C5" t="s">
        <v>40</v>
      </c>
      <c r="D5">
        <v>1</v>
      </c>
      <c r="E5">
        <v>2024</v>
      </c>
      <c r="F5" s="5">
        <v>0</v>
      </c>
      <c r="G5" s="5">
        <v>14300000</v>
      </c>
      <c r="H5" s="5">
        <v>17854359</v>
      </c>
      <c r="I5" s="5">
        <v>31877545</v>
      </c>
      <c r="J5" s="5">
        <v>389059911003.59998</v>
      </c>
      <c r="K5" t="s">
        <v>37</v>
      </c>
      <c r="L5" s="5">
        <v>21355617</v>
      </c>
      <c r="M5" s="5">
        <v>9827096</v>
      </c>
      <c r="N5" s="5">
        <v>694832</v>
      </c>
      <c r="O5" s="5">
        <v>0</v>
      </c>
      <c r="P5" s="5">
        <v>0</v>
      </c>
      <c r="Q5" s="6">
        <f t="shared" si="0"/>
        <v>-1.7342035774161269E-2</v>
      </c>
      <c r="R5" s="6">
        <f t="shared" si="1"/>
        <v>1.785420859970386</v>
      </c>
      <c r="S5" s="7">
        <f t="shared" si="2"/>
        <v>8.1934797439731685E-5</v>
      </c>
    </row>
    <row r="6" spans="1:19" x14ac:dyDescent="0.45">
      <c r="A6" t="s">
        <v>48</v>
      </c>
      <c r="B6" t="s">
        <v>47</v>
      </c>
      <c r="C6" t="s">
        <v>40</v>
      </c>
      <c r="D6">
        <v>1</v>
      </c>
      <c r="E6">
        <v>2025</v>
      </c>
      <c r="F6" s="5">
        <v>0</v>
      </c>
      <c r="G6" s="5">
        <v>0</v>
      </c>
      <c r="H6" s="5">
        <v>10406103</v>
      </c>
      <c r="I6" s="5">
        <v>17209120</v>
      </c>
      <c r="J6" s="5"/>
      <c r="K6" t="s">
        <v>45</v>
      </c>
      <c r="L6" s="5">
        <v>12615473</v>
      </c>
      <c r="M6" s="5">
        <v>3755211</v>
      </c>
      <c r="N6" s="5">
        <v>838436</v>
      </c>
      <c r="O6" s="5">
        <v>0</v>
      </c>
      <c r="P6" s="5">
        <v>0</v>
      </c>
      <c r="Q6" s="6" t="str">
        <f t="shared" si="0"/>
        <v/>
      </c>
      <c r="R6" s="6">
        <f t="shared" si="1"/>
        <v>1.6537526103672047</v>
      </c>
      <c r="S6" s="7" t="str">
        <f t="shared" si="2"/>
        <v/>
      </c>
    </row>
    <row r="7" spans="1:19" x14ac:dyDescent="0.45">
      <c r="A7" t="s">
        <v>48</v>
      </c>
      <c r="B7" t="s">
        <v>50</v>
      </c>
      <c r="C7" t="s">
        <v>35</v>
      </c>
      <c r="D7">
        <v>2</v>
      </c>
      <c r="E7">
        <v>2021</v>
      </c>
      <c r="F7" s="5">
        <v>0</v>
      </c>
      <c r="G7" s="5">
        <v>0</v>
      </c>
      <c r="H7" s="5">
        <v>2778267</v>
      </c>
      <c r="I7" s="5">
        <v>545892</v>
      </c>
      <c r="J7" s="5">
        <v>14915002436.1</v>
      </c>
      <c r="K7" t="s">
        <v>37</v>
      </c>
      <c r="L7" s="5">
        <v>10430</v>
      </c>
      <c r="M7" s="5">
        <v>0</v>
      </c>
      <c r="N7" s="5">
        <v>535462</v>
      </c>
      <c r="O7" s="5">
        <v>0</v>
      </c>
      <c r="P7" s="5">
        <v>0</v>
      </c>
      <c r="Q7" s="6" t="str">
        <f t="shared" si="0"/>
        <v/>
      </c>
      <c r="R7" s="6">
        <f t="shared" si="1"/>
        <v>0.19648651479501431</v>
      </c>
      <c r="S7" s="7">
        <f t="shared" si="2"/>
        <v>3.6600195161801178E-5</v>
      </c>
    </row>
    <row r="8" spans="1:19" x14ac:dyDescent="0.45">
      <c r="A8" t="s">
        <v>48</v>
      </c>
      <c r="B8" t="s">
        <v>50</v>
      </c>
      <c r="C8" t="s">
        <v>35</v>
      </c>
      <c r="D8">
        <v>2</v>
      </c>
      <c r="E8">
        <v>2022</v>
      </c>
      <c r="F8" s="5">
        <v>0</v>
      </c>
      <c r="G8" s="5">
        <v>0</v>
      </c>
      <c r="H8" s="5">
        <v>202500</v>
      </c>
      <c r="I8" s="5">
        <v>2696892</v>
      </c>
      <c r="J8" s="5">
        <v>15433852712.299999</v>
      </c>
      <c r="K8" t="s">
        <v>37</v>
      </c>
      <c r="L8" s="5">
        <v>2648892</v>
      </c>
      <c r="M8" s="5">
        <v>0</v>
      </c>
      <c r="N8" s="5">
        <v>0</v>
      </c>
      <c r="O8" s="5">
        <v>48000</v>
      </c>
      <c r="P8" s="5">
        <v>0</v>
      </c>
      <c r="Q8" s="6">
        <f t="shared" si="0"/>
        <v>3.4787139889711494E-2</v>
      </c>
      <c r="R8" s="6">
        <f t="shared" si="1"/>
        <v>13.317985185185185</v>
      </c>
      <c r="S8" s="7">
        <f t="shared" si="2"/>
        <v>1.7473874153604651E-4</v>
      </c>
    </row>
    <row r="9" spans="1:19" x14ac:dyDescent="0.45">
      <c r="A9" t="s">
        <v>48</v>
      </c>
      <c r="B9" t="s">
        <v>50</v>
      </c>
      <c r="C9" t="s">
        <v>35</v>
      </c>
      <c r="D9">
        <v>2</v>
      </c>
      <c r="E9">
        <v>2023</v>
      </c>
      <c r="F9" s="5">
        <v>0</v>
      </c>
      <c r="G9" s="5">
        <v>0</v>
      </c>
      <c r="H9" s="5">
        <v>89435</v>
      </c>
      <c r="I9" s="5">
        <v>573606</v>
      </c>
      <c r="J9" s="5">
        <v>16698786977.6</v>
      </c>
      <c r="K9" t="s">
        <v>37</v>
      </c>
      <c r="L9" s="5">
        <v>528606</v>
      </c>
      <c r="M9" s="5">
        <v>0</v>
      </c>
      <c r="N9" s="5">
        <v>0</v>
      </c>
      <c r="O9" s="5">
        <v>45000</v>
      </c>
      <c r="P9" s="5">
        <v>0</v>
      </c>
      <c r="Q9" s="6">
        <f t="shared" si="0"/>
        <v>8.1958425344561769E-2</v>
      </c>
      <c r="R9" s="6">
        <f t="shared" si="1"/>
        <v>6.4136635545368144</v>
      </c>
      <c r="S9" s="7">
        <f t="shared" si="2"/>
        <v>3.4350159731329198E-5</v>
      </c>
    </row>
    <row r="10" spans="1:19" x14ac:dyDescent="0.45">
      <c r="A10" t="s">
        <v>48</v>
      </c>
      <c r="B10" t="s">
        <v>50</v>
      </c>
      <c r="C10" t="s">
        <v>35</v>
      </c>
      <c r="D10">
        <v>2</v>
      </c>
      <c r="E10">
        <v>2024</v>
      </c>
      <c r="F10" s="5">
        <v>0</v>
      </c>
      <c r="G10" s="5">
        <v>0</v>
      </c>
      <c r="H10" s="5">
        <v>107232</v>
      </c>
      <c r="I10" s="5">
        <v>71287</v>
      </c>
      <c r="J10" s="5">
        <v>19876128485.799999</v>
      </c>
      <c r="K10" t="s">
        <v>37</v>
      </c>
      <c r="L10" s="5">
        <v>26287</v>
      </c>
      <c r="M10" s="5">
        <v>0</v>
      </c>
      <c r="N10" s="5">
        <v>0</v>
      </c>
      <c r="O10" s="5">
        <v>45000</v>
      </c>
      <c r="P10" s="5">
        <v>0</v>
      </c>
      <c r="Q10" s="6">
        <f t="shared" si="0"/>
        <v>0.19027379129167477</v>
      </c>
      <c r="R10" s="6">
        <f t="shared" si="1"/>
        <v>0.66479222620113398</v>
      </c>
      <c r="S10" s="7">
        <f t="shared" si="2"/>
        <v>3.5865636535268531E-6</v>
      </c>
    </row>
    <row r="11" spans="1:19" x14ac:dyDescent="0.45">
      <c r="A11" t="s">
        <v>48</v>
      </c>
      <c r="B11" t="s">
        <v>50</v>
      </c>
      <c r="C11" t="s">
        <v>35</v>
      </c>
      <c r="D11">
        <v>2</v>
      </c>
      <c r="E11">
        <v>2025</v>
      </c>
      <c r="F11" s="5">
        <v>0</v>
      </c>
      <c r="G11" s="5">
        <v>0</v>
      </c>
      <c r="H11" s="5">
        <v>0</v>
      </c>
      <c r="I11" s="5">
        <v>167000</v>
      </c>
      <c r="J11" s="5"/>
      <c r="K11" t="s">
        <v>45</v>
      </c>
      <c r="L11" s="5">
        <v>100000</v>
      </c>
      <c r="M11" s="5">
        <v>0</v>
      </c>
      <c r="N11" s="5">
        <v>0</v>
      </c>
      <c r="O11" s="5">
        <v>35000</v>
      </c>
      <c r="P11" s="5">
        <v>32000</v>
      </c>
      <c r="Q11" s="6" t="str">
        <f t="shared" si="0"/>
        <v/>
      </c>
      <c r="R11" s="6" t="str">
        <f t="shared" si="1"/>
        <v/>
      </c>
      <c r="S11" s="7" t="str">
        <f t="shared" si="2"/>
        <v/>
      </c>
    </row>
    <row r="12" spans="1:19" x14ac:dyDescent="0.45">
      <c r="A12" t="s">
        <v>34</v>
      </c>
      <c r="B12" t="s">
        <v>39</v>
      </c>
      <c r="C12" t="s">
        <v>40</v>
      </c>
      <c r="D12">
        <v>1</v>
      </c>
      <c r="E12">
        <v>2021</v>
      </c>
      <c r="F12" s="5">
        <v>7250000</v>
      </c>
      <c r="G12" s="5">
        <v>20000000</v>
      </c>
      <c r="H12" s="5">
        <v>50201475</v>
      </c>
      <c r="I12" s="5">
        <v>38037474</v>
      </c>
      <c r="J12" s="5">
        <v>46296100140.800003</v>
      </c>
      <c r="K12" t="s">
        <v>37</v>
      </c>
      <c r="L12" s="5">
        <v>37864512</v>
      </c>
      <c r="M12" s="5">
        <v>172962</v>
      </c>
      <c r="N12" s="5">
        <v>0</v>
      </c>
      <c r="O12" s="5">
        <v>0</v>
      </c>
      <c r="P12" s="5">
        <v>0</v>
      </c>
      <c r="Q12" s="6" t="str">
        <f t="shared" si="0"/>
        <v/>
      </c>
      <c r="R12" s="6">
        <f t="shared" si="1"/>
        <v>0.75769634258754348</v>
      </c>
      <c r="S12" s="7">
        <f t="shared" si="2"/>
        <v>8.2161291954002387E-4</v>
      </c>
    </row>
    <row r="13" spans="1:19" x14ac:dyDescent="0.45">
      <c r="A13" t="s">
        <v>34</v>
      </c>
      <c r="B13" t="s">
        <v>39</v>
      </c>
      <c r="C13" t="s">
        <v>40</v>
      </c>
      <c r="D13">
        <v>1</v>
      </c>
      <c r="E13">
        <v>2022</v>
      </c>
      <c r="F13" s="5">
        <v>38000</v>
      </c>
      <c r="G13" s="5">
        <v>625000</v>
      </c>
      <c r="H13" s="5">
        <v>37639949</v>
      </c>
      <c r="I13" s="5">
        <v>13822769</v>
      </c>
      <c r="J13" s="5">
        <v>48764963380.300003</v>
      </c>
      <c r="K13" t="s">
        <v>37</v>
      </c>
      <c r="L13" s="5">
        <v>12668447</v>
      </c>
      <c r="M13" s="5">
        <v>1055992</v>
      </c>
      <c r="N13" s="5">
        <v>0</v>
      </c>
      <c r="O13" s="5">
        <v>98330</v>
      </c>
      <c r="P13" s="5">
        <v>0</v>
      </c>
      <c r="Q13" s="6">
        <f t="shared" si="0"/>
        <v>5.3327671920344599E-2</v>
      </c>
      <c r="R13" s="6">
        <f t="shared" si="1"/>
        <v>0.36723665592639354</v>
      </c>
      <c r="S13" s="7">
        <f t="shared" si="2"/>
        <v>2.8345697488176729E-4</v>
      </c>
    </row>
    <row r="14" spans="1:19" x14ac:dyDescent="0.45">
      <c r="A14" t="s">
        <v>34</v>
      </c>
      <c r="B14" t="s">
        <v>39</v>
      </c>
      <c r="C14" t="s">
        <v>40</v>
      </c>
      <c r="D14">
        <v>1</v>
      </c>
      <c r="E14">
        <v>2023</v>
      </c>
      <c r="F14" s="5">
        <v>8000000</v>
      </c>
      <c r="G14" s="5">
        <v>111300000</v>
      </c>
      <c r="H14" s="5">
        <v>23017978</v>
      </c>
      <c r="I14" s="5">
        <v>34433884</v>
      </c>
      <c r="J14" s="5">
        <v>51088476388</v>
      </c>
      <c r="K14" t="s">
        <v>37</v>
      </c>
      <c r="L14" s="5">
        <v>32915271</v>
      </c>
      <c r="M14" s="5">
        <v>1506836</v>
      </c>
      <c r="N14" s="5">
        <v>0</v>
      </c>
      <c r="O14" s="5">
        <v>11777</v>
      </c>
      <c r="P14" s="5">
        <v>0</v>
      </c>
      <c r="Q14" s="6">
        <f t="shared" si="0"/>
        <v>4.7647180406550804E-2</v>
      </c>
      <c r="R14" s="6">
        <f t="shared" si="1"/>
        <v>1.4959560739870374</v>
      </c>
      <c r="S14" s="7">
        <f t="shared" si="2"/>
        <v>6.7400491137152129E-4</v>
      </c>
    </row>
    <row r="15" spans="1:19" x14ac:dyDescent="0.45">
      <c r="A15" t="s">
        <v>34</v>
      </c>
      <c r="B15" t="s">
        <v>39</v>
      </c>
      <c r="C15" t="s">
        <v>40</v>
      </c>
      <c r="D15">
        <v>1</v>
      </c>
      <c r="E15">
        <v>2024</v>
      </c>
      <c r="F15" s="5">
        <v>0</v>
      </c>
      <c r="G15" s="5">
        <v>9000000</v>
      </c>
      <c r="H15" s="5">
        <v>87811184</v>
      </c>
      <c r="I15" s="5">
        <v>42311186</v>
      </c>
      <c r="J15" s="5">
        <v>53352289577.5</v>
      </c>
      <c r="K15" t="s">
        <v>37</v>
      </c>
      <c r="L15" s="5">
        <v>40955006</v>
      </c>
      <c r="M15" s="5">
        <v>1191701</v>
      </c>
      <c r="N15" s="5">
        <v>0</v>
      </c>
      <c r="O15" s="5">
        <v>27838</v>
      </c>
      <c r="P15" s="5">
        <v>136641</v>
      </c>
      <c r="Q15" s="6">
        <f t="shared" si="0"/>
        <v>4.4311620732375934E-2</v>
      </c>
      <c r="R15" s="6">
        <f t="shared" si="1"/>
        <v>0.48184279123260654</v>
      </c>
      <c r="S15" s="7">
        <f t="shared" si="2"/>
        <v>7.9305286305545342E-4</v>
      </c>
    </row>
    <row r="16" spans="1:19" x14ac:dyDescent="0.45">
      <c r="A16" t="s">
        <v>34</v>
      </c>
      <c r="B16" t="s">
        <v>39</v>
      </c>
      <c r="C16" t="s">
        <v>40</v>
      </c>
      <c r="D16">
        <v>1</v>
      </c>
      <c r="E16">
        <v>2025</v>
      </c>
      <c r="F16" s="5">
        <v>0</v>
      </c>
      <c r="G16" s="5">
        <v>0</v>
      </c>
      <c r="H16" s="5">
        <v>2259557</v>
      </c>
      <c r="I16" s="5">
        <v>37914575</v>
      </c>
      <c r="J16" s="5"/>
      <c r="K16" t="s">
        <v>45</v>
      </c>
      <c r="L16" s="5">
        <v>37209859</v>
      </c>
      <c r="M16" s="5">
        <v>641358</v>
      </c>
      <c r="N16" s="5">
        <v>0</v>
      </c>
      <c r="O16" s="5">
        <v>0</v>
      </c>
      <c r="P16" s="5">
        <v>63358</v>
      </c>
      <c r="Q16" s="6" t="str">
        <f t="shared" si="0"/>
        <v/>
      </c>
      <c r="R16" s="6">
        <f t="shared" si="1"/>
        <v>16.779649727800628</v>
      </c>
      <c r="S16" s="7" t="str">
        <f t="shared" si="2"/>
        <v/>
      </c>
    </row>
    <row r="17" spans="1:19" x14ac:dyDescent="0.45">
      <c r="A17" t="s">
        <v>34</v>
      </c>
      <c r="B17" t="s">
        <v>33</v>
      </c>
      <c r="C17" t="s">
        <v>35</v>
      </c>
      <c r="D17">
        <v>2</v>
      </c>
      <c r="E17">
        <v>2021</v>
      </c>
      <c r="F17" s="5">
        <v>3500000</v>
      </c>
      <c r="G17" s="5">
        <v>0</v>
      </c>
      <c r="H17" s="5">
        <v>500000</v>
      </c>
      <c r="I17" s="5">
        <v>3091200</v>
      </c>
      <c r="J17" s="5">
        <v>416271647910</v>
      </c>
      <c r="K17" t="s">
        <v>37</v>
      </c>
      <c r="L17" s="5">
        <v>3091200</v>
      </c>
      <c r="M17" s="5">
        <v>0</v>
      </c>
      <c r="N17" s="5">
        <v>0</v>
      </c>
      <c r="O17" s="5">
        <v>0</v>
      </c>
      <c r="P17" s="5">
        <v>0</v>
      </c>
      <c r="Q17" s="6" t="str">
        <f t="shared" si="0"/>
        <v/>
      </c>
      <c r="R17" s="6">
        <f t="shared" si="1"/>
        <v>6.1824000000000003</v>
      </c>
      <c r="S17" s="7">
        <f t="shared" si="2"/>
        <v>7.4259201065462255E-6</v>
      </c>
    </row>
    <row r="18" spans="1:19" x14ac:dyDescent="0.45">
      <c r="A18" t="s">
        <v>34</v>
      </c>
      <c r="B18" t="s">
        <v>33</v>
      </c>
      <c r="C18" t="s">
        <v>35</v>
      </c>
      <c r="D18">
        <v>2</v>
      </c>
      <c r="E18">
        <v>2022</v>
      </c>
      <c r="F18" s="5">
        <v>2000000</v>
      </c>
      <c r="G18" s="5">
        <v>4500000</v>
      </c>
      <c r="H18" s="5">
        <v>3989149</v>
      </c>
      <c r="I18" s="5">
        <v>463930</v>
      </c>
      <c r="J18" s="5">
        <v>462131689083.09998</v>
      </c>
      <c r="K18" t="s">
        <v>37</v>
      </c>
      <c r="L18" s="5">
        <v>463930</v>
      </c>
      <c r="M18" s="5">
        <v>0</v>
      </c>
      <c r="N18" s="5">
        <v>0</v>
      </c>
      <c r="O18" s="5">
        <v>0</v>
      </c>
      <c r="P18" s="5">
        <v>0</v>
      </c>
      <c r="Q18" s="6">
        <f t="shared" si="0"/>
        <v>0.11016854355407646</v>
      </c>
      <c r="R18" s="6">
        <f t="shared" si="1"/>
        <v>0.11629798736522501</v>
      </c>
      <c r="S18" s="7">
        <f t="shared" si="2"/>
        <v>1.003891338679821E-6</v>
      </c>
    </row>
    <row r="19" spans="1:19" x14ac:dyDescent="0.45">
      <c r="A19" t="s">
        <v>34</v>
      </c>
      <c r="B19" t="s">
        <v>33</v>
      </c>
      <c r="C19" t="s">
        <v>35</v>
      </c>
      <c r="D19">
        <v>2</v>
      </c>
      <c r="E19">
        <v>2023</v>
      </c>
      <c r="F19" s="5">
        <v>0</v>
      </c>
      <c r="G19" s="5">
        <v>1000000</v>
      </c>
      <c r="H19" s="5">
        <v>3508334</v>
      </c>
      <c r="I19" s="5">
        <v>2907474</v>
      </c>
      <c r="J19" s="5">
        <v>437415333018.29999</v>
      </c>
      <c r="K19" t="s">
        <v>37</v>
      </c>
      <c r="L19" s="5">
        <v>2799575</v>
      </c>
      <c r="M19" s="5">
        <v>0</v>
      </c>
      <c r="N19" s="5">
        <v>0</v>
      </c>
      <c r="O19" s="5">
        <v>0</v>
      </c>
      <c r="P19" s="5">
        <v>107899</v>
      </c>
      <c r="Q19" s="6">
        <f t="shared" si="0"/>
        <v>-5.3483361233761961E-2</v>
      </c>
      <c r="R19" s="6">
        <f t="shared" si="1"/>
        <v>0.82873352423115931</v>
      </c>
      <c r="S19" s="7">
        <f t="shared" si="2"/>
        <v>6.6469412033125072E-6</v>
      </c>
    </row>
    <row r="20" spans="1:19" x14ac:dyDescent="0.45">
      <c r="A20" t="s">
        <v>34</v>
      </c>
      <c r="B20" t="s">
        <v>33</v>
      </c>
      <c r="C20" t="s">
        <v>35</v>
      </c>
      <c r="D20">
        <v>2</v>
      </c>
      <c r="E20">
        <v>2024</v>
      </c>
      <c r="F20" s="5">
        <v>0</v>
      </c>
      <c r="G20" s="5">
        <v>6455000</v>
      </c>
      <c r="H20" s="5">
        <v>5240059</v>
      </c>
      <c r="I20" s="5">
        <v>3576972</v>
      </c>
      <c r="J20" s="5">
        <v>450119432068.90002</v>
      </c>
      <c r="K20" t="s">
        <v>37</v>
      </c>
      <c r="L20" s="5">
        <v>3429341</v>
      </c>
      <c r="M20" s="5">
        <v>0</v>
      </c>
      <c r="N20" s="5">
        <v>0</v>
      </c>
      <c r="O20" s="5">
        <v>0</v>
      </c>
      <c r="P20" s="5">
        <v>147631</v>
      </c>
      <c r="Q20" s="6">
        <f t="shared" si="0"/>
        <v>2.904356132862973E-2</v>
      </c>
      <c r="R20" s="6">
        <f t="shared" si="1"/>
        <v>0.68262055827997359</v>
      </c>
      <c r="S20" s="7">
        <f t="shared" si="2"/>
        <v>7.9467175712877709E-6</v>
      </c>
    </row>
    <row r="21" spans="1:19" x14ac:dyDescent="0.45">
      <c r="A21" t="s">
        <v>34</v>
      </c>
      <c r="B21" t="s">
        <v>33</v>
      </c>
      <c r="C21" t="s">
        <v>35</v>
      </c>
      <c r="D21">
        <v>2</v>
      </c>
      <c r="E21">
        <v>2025</v>
      </c>
      <c r="F21" s="5">
        <v>0</v>
      </c>
      <c r="G21" s="5">
        <v>0</v>
      </c>
      <c r="H21" s="5">
        <v>138989</v>
      </c>
      <c r="I21" s="5">
        <v>5718971</v>
      </c>
      <c r="J21" s="5"/>
      <c r="K21" t="s">
        <v>45</v>
      </c>
      <c r="L21" s="5">
        <v>5661297</v>
      </c>
      <c r="M21" s="5">
        <v>0</v>
      </c>
      <c r="N21" s="5">
        <v>57674</v>
      </c>
      <c r="O21" s="5">
        <v>0</v>
      </c>
      <c r="P21" s="5">
        <v>0</v>
      </c>
      <c r="Q21" s="6" t="str">
        <f t="shared" si="0"/>
        <v/>
      </c>
      <c r="R21" s="6">
        <f t="shared" si="1"/>
        <v>41.146932491060447</v>
      </c>
      <c r="S21" s="7" t="str">
        <f t="shared" si="2"/>
        <v/>
      </c>
    </row>
    <row r="22" spans="1:19" x14ac:dyDescent="0.45">
      <c r="A22" t="s">
        <v>57</v>
      </c>
      <c r="B22" t="s">
        <v>59</v>
      </c>
      <c r="C22" t="s">
        <v>40</v>
      </c>
      <c r="D22">
        <v>1</v>
      </c>
      <c r="E22">
        <v>2021</v>
      </c>
      <c r="F22" s="5">
        <v>8390000</v>
      </c>
      <c r="G22" s="5">
        <v>11628000</v>
      </c>
      <c r="H22" s="5">
        <v>47551963</v>
      </c>
      <c r="I22" s="5">
        <v>45983557</v>
      </c>
      <c r="J22" s="5">
        <v>199765859570.89999</v>
      </c>
      <c r="K22" t="s">
        <v>37</v>
      </c>
      <c r="L22" s="5">
        <v>29315603</v>
      </c>
      <c r="M22" s="5">
        <v>11256951</v>
      </c>
      <c r="N22" s="5">
        <v>5411003</v>
      </c>
      <c r="O22" s="5">
        <v>0</v>
      </c>
      <c r="P22" s="5">
        <v>0</v>
      </c>
      <c r="Q22" s="6" t="str">
        <f t="shared" si="0"/>
        <v/>
      </c>
      <c r="R22" s="6">
        <f t="shared" si="1"/>
        <v>0.96701700831992987</v>
      </c>
      <c r="S22" s="7">
        <f t="shared" si="2"/>
        <v>2.3018726572585204E-4</v>
      </c>
    </row>
    <row r="23" spans="1:19" x14ac:dyDescent="0.45">
      <c r="A23" t="s">
        <v>57</v>
      </c>
      <c r="B23" t="s">
        <v>59</v>
      </c>
      <c r="C23" t="s">
        <v>40</v>
      </c>
      <c r="D23">
        <v>1</v>
      </c>
      <c r="E23">
        <v>2022</v>
      </c>
      <c r="F23" s="5">
        <v>0</v>
      </c>
      <c r="G23" s="5">
        <v>12961000</v>
      </c>
      <c r="H23" s="5">
        <v>24821243</v>
      </c>
      <c r="I23" s="5">
        <v>46684241</v>
      </c>
      <c r="J23" s="5">
        <v>161989520721.20001</v>
      </c>
      <c r="K23" t="s">
        <v>37</v>
      </c>
      <c r="L23" s="5">
        <v>41740544</v>
      </c>
      <c r="M23" s="5">
        <v>3451708</v>
      </c>
      <c r="N23" s="5">
        <v>1491989</v>
      </c>
      <c r="O23" s="5">
        <v>0</v>
      </c>
      <c r="P23" s="5">
        <v>0</v>
      </c>
      <c r="Q23" s="6">
        <f t="shared" si="0"/>
        <v>-0.18910307762719869</v>
      </c>
      <c r="R23" s="6">
        <f t="shared" si="1"/>
        <v>1.8808180154394363</v>
      </c>
      <c r="S23" s="7">
        <f t="shared" si="2"/>
        <v>2.8819296947206973E-4</v>
      </c>
    </row>
    <row r="24" spans="1:19" x14ac:dyDescent="0.45">
      <c r="A24" t="s">
        <v>57</v>
      </c>
      <c r="B24" t="s">
        <v>59</v>
      </c>
      <c r="C24" t="s">
        <v>40</v>
      </c>
      <c r="D24">
        <v>1</v>
      </c>
      <c r="E24">
        <v>2023</v>
      </c>
      <c r="F24" s="5">
        <v>0</v>
      </c>
      <c r="G24" s="5">
        <v>9717000</v>
      </c>
      <c r="H24" s="5">
        <v>192880987</v>
      </c>
      <c r="I24" s="5">
        <v>59280259</v>
      </c>
      <c r="J24" s="5">
        <v>181221517868.70001</v>
      </c>
      <c r="K24" t="s">
        <v>37</v>
      </c>
      <c r="L24" s="5">
        <v>43765334</v>
      </c>
      <c r="M24" s="5">
        <v>11125700</v>
      </c>
      <c r="N24" s="5">
        <v>3466368</v>
      </c>
      <c r="O24" s="5">
        <v>922857</v>
      </c>
      <c r="P24" s="5">
        <v>0</v>
      </c>
      <c r="Q24" s="6">
        <f t="shared" si="0"/>
        <v>0.11872371164428697</v>
      </c>
      <c r="R24" s="6">
        <f t="shared" si="1"/>
        <v>0.30734112222268956</v>
      </c>
      <c r="S24" s="7">
        <f t="shared" si="2"/>
        <v>3.2711490168044053E-4</v>
      </c>
    </row>
    <row r="25" spans="1:19" x14ac:dyDescent="0.45">
      <c r="A25" t="s">
        <v>57</v>
      </c>
      <c r="B25" t="s">
        <v>59</v>
      </c>
      <c r="C25" t="s">
        <v>40</v>
      </c>
      <c r="D25">
        <v>1</v>
      </c>
      <c r="E25">
        <v>2024</v>
      </c>
      <c r="F25" s="5">
        <v>0</v>
      </c>
      <c r="G25" s="5">
        <v>11900000</v>
      </c>
      <c r="H25" s="5">
        <v>304318070</v>
      </c>
      <c r="I25" s="5">
        <v>155075710</v>
      </c>
      <c r="J25" s="5">
        <v>190741262414.70001</v>
      </c>
      <c r="K25" t="s">
        <v>37</v>
      </c>
      <c r="L25" s="5">
        <v>131499009</v>
      </c>
      <c r="M25" s="5">
        <v>20187870</v>
      </c>
      <c r="N25" s="5">
        <v>2952564</v>
      </c>
      <c r="O25" s="5">
        <v>436267</v>
      </c>
      <c r="P25" s="5">
        <v>0</v>
      </c>
      <c r="Q25" s="6">
        <f t="shared" si="0"/>
        <v>5.2530983395124853E-2</v>
      </c>
      <c r="R25" s="6">
        <f t="shared" si="1"/>
        <v>0.50958429777107883</v>
      </c>
      <c r="S25" s="7">
        <f t="shared" si="2"/>
        <v>8.1301606184634679E-4</v>
      </c>
    </row>
    <row r="26" spans="1:19" x14ac:dyDescent="0.45">
      <c r="A26" t="s">
        <v>57</v>
      </c>
      <c r="B26" t="s">
        <v>59</v>
      </c>
      <c r="C26" t="s">
        <v>40</v>
      </c>
      <c r="D26">
        <v>1</v>
      </c>
      <c r="E26">
        <v>2025</v>
      </c>
      <c r="F26" s="5">
        <v>0</v>
      </c>
      <c r="G26" s="5">
        <v>0</v>
      </c>
      <c r="H26" s="5">
        <v>95415</v>
      </c>
      <c r="I26" s="5">
        <v>156747647</v>
      </c>
      <c r="J26" s="5"/>
      <c r="K26" t="s">
        <v>45</v>
      </c>
      <c r="L26" s="5">
        <v>109855737</v>
      </c>
      <c r="M26" s="5">
        <v>37401040</v>
      </c>
      <c r="N26" s="5">
        <v>9234453</v>
      </c>
      <c r="O26" s="5">
        <v>256417</v>
      </c>
      <c r="P26" s="5">
        <v>0</v>
      </c>
      <c r="Q26" s="6" t="str">
        <f t="shared" si="0"/>
        <v/>
      </c>
      <c r="R26" s="6">
        <f t="shared" si="1"/>
        <v>1642.7987947387728</v>
      </c>
      <c r="S26" s="7" t="str">
        <f t="shared" si="2"/>
        <v/>
      </c>
    </row>
    <row r="27" spans="1:19" x14ac:dyDescent="0.45">
      <c r="A27" t="s">
        <v>57</v>
      </c>
      <c r="B27" t="s">
        <v>56</v>
      </c>
      <c r="C27" t="s">
        <v>35</v>
      </c>
      <c r="D27">
        <v>2</v>
      </c>
      <c r="E27">
        <v>2021</v>
      </c>
      <c r="F27" s="5">
        <v>7214000</v>
      </c>
      <c r="G27" s="5">
        <v>1470000</v>
      </c>
      <c r="H27" s="5">
        <v>14295823</v>
      </c>
      <c r="I27" s="5">
        <v>14544250</v>
      </c>
      <c r="J27" s="5">
        <v>18853115588.799999</v>
      </c>
      <c r="K27" t="s">
        <v>37</v>
      </c>
      <c r="L27" s="5">
        <v>14527999</v>
      </c>
      <c r="M27" s="5">
        <v>16251</v>
      </c>
      <c r="N27" s="5">
        <v>0</v>
      </c>
      <c r="O27" s="5">
        <v>0</v>
      </c>
      <c r="P27" s="5">
        <v>0</v>
      </c>
      <c r="Q27" s="6" t="str">
        <f t="shared" si="0"/>
        <v/>
      </c>
      <c r="R27" s="6">
        <f t="shared" si="1"/>
        <v>1.0173775934411051</v>
      </c>
      <c r="S27" s="7">
        <f t="shared" si="2"/>
        <v>7.7145074147003318E-4</v>
      </c>
    </row>
    <row r="28" spans="1:19" x14ac:dyDescent="0.45">
      <c r="A28" t="s">
        <v>57</v>
      </c>
      <c r="B28" t="s">
        <v>56</v>
      </c>
      <c r="C28" t="s">
        <v>35</v>
      </c>
      <c r="D28">
        <v>2</v>
      </c>
      <c r="E28">
        <v>2022</v>
      </c>
      <c r="F28" s="5">
        <v>5291000</v>
      </c>
      <c r="G28" s="5">
        <v>5488000</v>
      </c>
      <c r="H28" s="5">
        <v>17471986</v>
      </c>
      <c r="I28" s="5">
        <v>16885318</v>
      </c>
      <c r="J28" s="5">
        <v>24984568959.599998</v>
      </c>
      <c r="K28" t="s">
        <v>37</v>
      </c>
      <c r="L28" s="5">
        <v>16837572</v>
      </c>
      <c r="M28" s="5">
        <v>47746</v>
      </c>
      <c r="N28" s="5">
        <v>0</v>
      </c>
      <c r="O28" s="5">
        <v>0</v>
      </c>
      <c r="P28" s="5">
        <v>0</v>
      </c>
      <c r="Q28" s="6">
        <f t="shared" si="0"/>
        <v>0.32522228710264156</v>
      </c>
      <c r="R28" s="6">
        <f t="shared" si="1"/>
        <v>0.9664223632047324</v>
      </c>
      <c r="S28" s="7">
        <f t="shared" si="2"/>
        <v>6.7582987032129818E-4</v>
      </c>
    </row>
    <row r="29" spans="1:19" x14ac:dyDescent="0.45">
      <c r="A29" t="s">
        <v>57</v>
      </c>
      <c r="B29" t="s">
        <v>56</v>
      </c>
      <c r="C29" t="s">
        <v>35</v>
      </c>
      <c r="D29">
        <v>2</v>
      </c>
      <c r="E29">
        <v>2023</v>
      </c>
      <c r="F29" s="5">
        <v>4060000</v>
      </c>
      <c r="G29" s="5">
        <v>6585000</v>
      </c>
      <c r="H29" s="5">
        <v>25988771</v>
      </c>
      <c r="I29" s="5">
        <v>19621384</v>
      </c>
      <c r="J29" s="5">
        <v>30777833600.700001</v>
      </c>
      <c r="K29" t="s">
        <v>37</v>
      </c>
      <c r="L29" s="5">
        <v>19570138</v>
      </c>
      <c r="M29" s="5">
        <v>51246</v>
      </c>
      <c r="N29" s="5">
        <v>0</v>
      </c>
      <c r="O29" s="5">
        <v>0</v>
      </c>
      <c r="P29" s="5">
        <v>0</v>
      </c>
      <c r="Q29" s="6">
        <f t="shared" si="0"/>
        <v>0.2318737077460773</v>
      </c>
      <c r="R29" s="6">
        <f t="shared" si="1"/>
        <v>0.75499468597418473</v>
      </c>
      <c r="S29" s="7">
        <f t="shared" si="2"/>
        <v>6.3751673540641076E-4</v>
      </c>
    </row>
    <row r="30" spans="1:19" x14ac:dyDescent="0.45">
      <c r="A30" t="s">
        <v>57</v>
      </c>
      <c r="B30" t="s">
        <v>56</v>
      </c>
      <c r="C30" t="s">
        <v>35</v>
      </c>
      <c r="D30">
        <v>2</v>
      </c>
      <c r="E30">
        <v>2024</v>
      </c>
      <c r="F30" s="5">
        <v>0</v>
      </c>
      <c r="G30" s="5">
        <v>6585000</v>
      </c>
      <c r="H30" s="5">
        <v>32020012</v>
      </c>
      <c r="I30" s="5">
        <v>29680068</v>
      </c>
      <c r="J30" s="5">
        <v>34189423545</v>
      </c>
      <c r="K30" t="s">
        <v>37</v>
      </c>
      <c r="L30" s="5">
        <v>29627068</v>
      </c>
      <c r="M30" s="5">
        <v>0</v>
      </c>
      <c r="N30" s="5">
        <v>0</v>
      </c>
      <c r="O30" s="5">
        <v>53000</v>
      </c>
      <c r="P30" s="5">
        <v>0</v>
      </c>
      <c r="Q30" s="6">
        <f t="shared" si="0"/>
        <v>0.11084568162141228</v>
      </c>
      <c r="R30" s="6">
        <f t="shared" si="1"/>
        <v>0.92692245087228575</v>
      </c>
      <c r="S30" s="7">
        <f t="shared" si="2"/>
        <v>8.6810671027942891E-4</v>
      </c>
    </row>
    <row r="31" spans="1:19" x14ac:dyDescent="0.45">
      <c r="A31" t="s">
        <v>57</v>
      </c>
      <c r="B31" t="s">
        <v>56</v>
      </c>
      <c r="C31" t="s">
        <v>35</v>
      </c>
      <c r="D31">
        <v>2</v>
      </c>
      <c r="E31">
        <v>2025</v>
      </c>
      <c r="F31" s="5">
        <v>0</v>
      </c>
      <c r="G31" s="5">
        <v>0</v>
      </c>
      <c r="H31" s="5">
        <v>29890735</v>
      </c>
      <c r="I31" s="5">
        <v>9407089</v>
      </c>
      <c r="J31" s="5"/>
      <c r="K31" t="s">
        <v>45</v>
      </c>
      <c r="L31" s="5">
        <v>9377239</v>
      </c>
      <c r="M31" s="5">
        <v>0</v>
      </c>
      <c r="N31" s="5">
        <v>0</v>
      </c>
      <c r="O31" s="5">
        <v>29850</v>
      </c>
      <c r="P31" s="5">
        <v>0</v>
      </c>
      <c r="Q31" s="6" t="str">
        <f t="shared" si="0"/>
        <v/>
      </c>
      <c r="R31" s="6">
        <f t="shared" si="1"/>
        <v>0.31471588102467202</v>
      </c>
      <c r="S31" s="7" t="str">
        <f t="shared" si="2"/>
        <v/>
      </c>
    </row>
    <row r="32" spans="1:19" x14ac:dyDescent="0.45">
      <c r="A32" t="s">
        <v>53</v>
      </c>
      <c r="B32" t="s">
        <v>52</v>
      </c>
      <c r="C32" t="s">
        <v>54</v>
      </c>
      <c r="D32">
        <v>1</v>
      </c>
      <c r="E32">
        <v>2021</v>
      </c>
      <c r="F32" s="5">
        <v>0</v>
      </c>
      <c r="G32" s="5">
        <v>3000000</v>
      </c>
      <c r="H32" s="5">
        <v>2890076</v>
      </c>
      <c r="I32" s="5">
        <v>1016348</v>
      </c>
      <c r="J32" s="5">
        <v>26109413521.299999</v>
      </c>
      <c r="K32" t="s">
        <v>37</v>
      </c>
      <c r="L32" s="5">
        <v>753827</v>
      </c>
      <c r="M32" s="5">
        <v>262521</v>
      </c>
      <c r="N32" s="5">
        <v>0</v>
      </c>
      <c r="O32" s="5">
        <v>0</v>
      </c>
      <c r="P32" s="5">
        <v>0</v>
      </c>
      <c r="Q32" s="6" t="str">
        <f t="shared" si="0"/>
        <v/>
      </c>
      <c r="R32" s="6">
        <f t="shared" si="1"/>
        <v>0.3516682606270562</v>
      </c>
      <c r="S32" s="7">
        <f t="shared" si="2"/>
        <v>3.8926496727736363E-5</v>
      </c>
    </row>
    <row r="33" spans="1:19" x14ac:dyDescent="0.45">
      <c r="A33" t="s">
        <v>53</v>
      </c>
      <c r="B33" t="s">
        <v>52</v>
      </c>
      <c r="C33" t="s">
        <v>54</v>
      </c>
      <c r="D33">
        <v>1</v>
      </c>
      <c r="E33">
        <v>2022</v>
      </c>
      <c r="F33" s="5">
        <v>75000</v>
      </c>
      <c r="G33" s="5">
        <v>0</v>
      </c>
      <c r="H33" s="5">
        <v>473650</v>
      </c>
      <c r="I33" s="5">
        <v>1813023</v>
      </c>
      <c r="J33" s="5">
        <v>31653185952.599998</v>
      </c>
      <c r="K33" t="s">
        <v>37</v>
      </c>
      <c r="L33" s="5">
        <v>1049937</v>
      </c>
      <c r="M33" s="5">
        <v>763086</v>
      </c>
      <c r="N33" s="5">
        <v>0</v>
      </c>
      <c r="O33" s="5">
        <v>0</v>
      </c>
      <c r="P33" s="5">
        <v>0</v>
      </c>
      <c r="Q33" s="6">
        <f t="shared" si="0"/>
        <v>0.21232849319948932</v>
      </c>
      <c r="R33" s="6">
        <f t="shared" si="1"/>
        <v>3.8277694500158344</v>
      </c>
      <c r="S33" s="7">
        <f t="shared" si="2"/>
        <v>5.7277741416455364E-5</v>
      </c>
    </row>
    <row r="34" spans="1:19" x14ac:dyDescent="0.45">
      <c r="A34" t="s">
        <v>53</v>
      </c>
      <c r="B34" t="s">
        <v>52</v>
      </c>
      <c r="C34" t="s">
        <v>54</v>
      </c>
      <c r="D34">
        <v>1</v>
      </c>
      <c r="E34">
        <v>2023</v>
      </c>
      <c r="F34" s="5">
        <v>0</v>
      </c>
      <c r="G34" s="5">
        <v>0</v>
      </c>
      <c r="H34" s="5">
        <v>1275000</v>
      </c>
      <c r="I34" s="5">
        <v>1105027</v>
      </c>
      <c r="J34" s="5">
        <v>30816367067</v>
      </c>
      <c r="K34" t="s">
        <v>37</v>
      </c>
      <c r="L34" s="5">
        <v>727576</v>
      </c>
      <c r="M34" s="5">
        <v>377451</v>
      </c>
      <c r="N34" s="5">
        <v>0</v>
      </c>
      <c r="O34" s="5">
        <v>0</v>
      </c>
      <c r="P34" s="5">
        <v>0</v>
      </c>
      <c r="Q34" s="6">
        <f t="shared" si="0"/>
        <v>-2.6437114003409201E-2</v>
      </c>
      <c r="R34" s="6">
        <f t="shared" si="1"/>
        <v>0.86668784313725489</v>
      </c>
      <c r="S34" s="7">
        <f t="shared" si="2"/>
        <v>3.585844488409306E-5</v>
      </c>
    </row>
    <row r="35" spans="1:19" x14ac:dyDescent="0.45">
      <c r="A35" t="s">
        <v>53</v>
      </c>
      <c r="B35" t="s">
        <v>52</v>
      </c>
      <c r="C35" t="s">
        <v>54</v>
      </c>
      <c r="D35">
        <v>1</v>
      </c>
      <c r="E35">
        <v>2024</v>
      </c>
      <c r="F35" s="5">
        <v>0</v>
      </c>
      <c r="G35" s="5">
        <v>0</v>
      </c>
      <c r="H35" s="5">
        <v>3000000</v>
      </c>
      <c r="I35" s="5">
        <v>1199249</v>
      </c>
      <c r="J35" s="5">
        <v>31800428265.5</v>
      </c>
      <c r="K35" t="s">
        <v>37</v>
      </c>
      <c r="L35" s="5">
        <v>447370</v>
      </c>
      <c r="M35" s="5">
        <v>741879</v>
      </c>
      <c r="N35" s="5">
        <v>0</v>
      </c>
      <c r="O35" s="5">
        <v>10000</v>
      </c>
      <c r="P35" s="5">
        <v>0</v>
      </c>
      <c r="Q35" s="6">
        <f t="shared" si="0"/>
        <v>3.1933069734030761E-2</v>
      </c>
      <c r="R35" s="6">
        <f t="shared" si="1"/>
        <v>0.39974966666666667</v>
      </c>
      <c r="S35" s="7">
        <f t="shared" si="2"/>
        <v>3.7711724822934364E-5</v>
      </c>
    </row>
    <row r="36" spans="1:19" x14ac:dyDescent="0.45">
      <c r="A36" t="s">
        <v>53</v>
      </c>
      <c r="B36" t="s">
        <v>52</v>
      </c>
      <c r="C36" t="s">
        <v>54</v>
      </c>
      <c r="D36">
        <v>1</v>
      </c>
      <c r="E36">
        <v>2025</v>
      </c>
      <c r="F36" s="5">
        <v>0</v>
      </c>
      <c r="G36" s="5">
        <v>0</v>
      </c>
      <c r="H36" s="5">
        <v>0</v>
      </c>
      <c r="I36" s="5">
        <v>464004</v>
      </c>
      <c r="J36" s="5"/>
      <c r="K36" t="s">
        <v>45</v>
      </c>
      <c r="L36" s="5">
        <v>211691</v>
      </c>
      <c r="M36" s="5">
        <v>218787</v>
      </c>
      <c r="N36" s="5">
        <v>0</v>
      </c>
      <c r="O36" s="5">
        <v>33526</v>
      </c>
      <c r="P36" s="5">
        <v>0</v>
      </c>
      <c r="Q36" s="6" t="str">
        <f t="shared" si="0"/>
        <v/>
      </c>
      <c r="R36" s="6" t="str">
        <f t="shared" si="1"/>
        <v/>
      </c>
      <c r="S36" s="7" t="str">
        <f t="shared" si="2"/>
        <v/>
      </c>
    </row>
    <row r="37" spans="1:19" x14ac:dyDescent="0.45">
      <c r="A37" t="s">
        <v>43</v>
      </c>
      <c r="B37" t="s">
        <v>42</v>
      </c>
      <c r="C37" t="s">
        <v>40</v>
      </c>
      <c r="D37">
        <v>1</v>
      </c>
      <c r="E37">
        <v>2021</v>
      </c>
      <c r="F37" s="5">
        <v>0</v>
      </c>
      <c r="G37" s="5">
        <v>0</v>
      </c>
      <c r="H37" s="5">
        <v>405724</v>
      </c>
      <c r="I37" s="5">
        <v>63809</v>
      </c>
      <c r="J37" s="5">
        <v>318524633225.40002</v>
      </c>
      <c r="K37" t="s">
        <v>37</v>
      </c>
      <c r="L37" s="5">
        <v>45199</v>
      </c>
      <c r="M37" s="5">
        <v>0</v>
      </c>
      <c r="N37" s="5">
        <v>0</v>
      </c>
      <c r="O37" s="5">
        <v>0</v>
      </c>
      <c r="P37" s="5">
        <v>18610</v>
      </c>
      <c r="Q37" s="6" t="str">
        <f t="shared" si="0"/>
        <v/>
      </c>
      <c r="R37" s="6">
        <f t="shared" si="1"/>
        <v>0.15727193855921759</v>
      </c>
      <c r="S37" s="7">
        <f t="shared" si="2"/>
        <v>2.0032673565578316E-7</v>
      </c>
    </row>
    <row r="38" spans="1:19" x14ac:dyDescent="0.45">
      <c r="A38" t="s">
        <v>43</v>
      </c>
      <c r="B38" t="s">
        <v>42</v>
      </c>
      <c r="C38" t="s">
        <v>40</v>
      </c>
      <c r="D38">
        <v>1</v>
      </c>
      <c r="E38">
        <v>2022</v>
      </c>
      <c r="F38" s="5">
        <v>0</v>
      </c>
      <c r="G38" s="5">
        <v>0</v>
      </c>
      <c r="H38" s="5">
        <v>110077</v>
      </c>
      <c r="I38" s="5">
        <v>165448</v>
      </c>
      <c r="J38" s="5">
        <v>345632492851.40002</v>
      </c>
      <c r="K38" t="s">
        <v>37</v>
      </c>
      <c r="L38" s="5">
        <v>170706</v>
      </c>
      <c r="M38" s="5">
        <v>-5258</v>
      </c>
      <c r="N38" s="5">
        <v>0</v>
      </c>
      <c r="O38" s="5">
        <v>0</v>
      </c>
      <c r="P38" s="5">
        <v>0</v>
      </c>
      <c r="Q38" s="6">
        <f t="shared" si="0"/>
        <v>8.5104437140399947E-2</v>
      </c>
      <c r="R38" s="6">
        <f t="shared" si="1"/>
        <v>1.5030206128437367</v>
      </c>
      <c r="S38" s="7">
        <f t="shared" si="2"/>
        <v>4.7868184682257897E-7</v>
      </c>
    </row>
    <row r="39" spans="1:19" x14ac:dyDescent="0.45">
      <c r="A39" t="s">
        <v>43</v>
      </c>
      <c r="B39" t="s">
        <v>42</v>
      </c>
      <c r="C39" t="s">
        <v>40</v>
      </c>
      <c r="D39">
        <v>1</v>
      </c>
      <c r="E39">
        <v>2023</v>
      </c>
      <c r="F39" s="5">
        <v>0</v>
      </c>
      <c r="G39" s="5">
        <v>0</v>
      </c>
      <c r="H39" s="5">
        <v>-8142</v>
      </c>
      <c r="I39" s="5">
        <v>305154</v>
      </c>
      <c r="J39" s="5">
        <v>336291836137.90002</v>
      </c>
      <c r="K39" t="s">
        <v>37</v>
      </c>
      <c r="L39" s="5">
        <v>305154</v>
      </c>
      <c r="M39" s="5">
        <v>0</v>
      </c>
      <c r="N39" s="5">
        <v>0</v>
      </c>
      <c r="O39" s="5">
        <v>0</v>
      </c>
      <c r="P39" s="5">
        <v>0</v>
      </c>
      <c r="Q39" s="6">
        <f t="shared" si="0"/>
        <v>-2.7024822337857857E-2</v>
      </c>
      <c r="R39" s="6">
        <f t="shared" si="1"/>
        <v>-37.478997789240971</v>
      </c>
      <c r="S39" s="7">
        <f t="shared" si="2"/>
        <v>9.0740829008667454E-7</v>
      </c>
    </row>
    <row r="40" spans="1:19" x14ac:dyDescent="0.45">
      <c r="A40" t="s">
        <v>43</v>
      </c>
      <c r="B40" t="s">
        <v>42</v>
      </c>
      <c r="C40" t="s">
        <v>40</v>
      </c>
      <c r="D40">
        <v>1</v>
      </c>
      <c r="E40">
        <v>2024</v>
      </c>
      <c r="F40" s="5">
        <v>0</v>
      </c>
      <c r="G40" s="5">
        <v>0</v>
      </c>
      <c r="H40" s="5">
        <v>3872819</v>
      </c>
      <c r="I40" s="5">
        <v>3260325</v>
      </c>
      <c r="J40" s="5">
        <v>418818154879.29999</v>
      </c>
      <c r="K40" t="s">
        <v>37</v>
      </c>
      <c r="L40" s="5">
        <v>3260325</v>
      </c>
      <c r="M40" s="5">
        <v>0</v>
      </c>
      <c r="N40" s="5">
        <v>0</v>
      </c>
      <c r="O40" s="5">
        <v>0</v>
      </c>
      <c r="P40" s="5">
        <v>0</v>
      </c>
      <c r="Q40" s="6">
        <f t="shared" si="0"/>
        <v>0.24540089848496693</v>
      </c>
      <c r="R40" s="6">
        <f t="shared" si="1"/>
        <v>0.84184801820069566</v>
      </c>
      <c r="S40" s="7">
        <f t="shared" si="2"/>
        <v>7.7845837436049052E-6</v>
      </c>
    </row>
    <row r="41" spans="1:19" x14ac:dyDescent="0.45">
      <c r="A41" t="s">
        <v>43</v>
      </c>
      <c r="B41" t="s">
        <v>42</v>
      </c>
      <c r="C41" t="s">
        <v>40</v>
      </c>
      <c r="D41">
        <v>1</v>
      </c>
      <c r="E41">
        <v>2025</v>
      </c>
      <c r="F41" s="5">
        <v>0</v>
      </c>
      <c r="G41" s="5">
        <v>0</v>
      </c>
      <c r="H41" s="5">
        <v>1175000</v>
      </c>
      <c r="I41" s="5">
        <v>1251189</v>
      </c>
      <c r="J41" s="5"/>
      <c r="K41" t="s">
        <v>45</v>
      </c>
      <c r="L41" s="5">
        <v>980726</v>
      </c>
      <c r="M41" s="5">
        <v>0</v>
      </c>
      <c r="N41" s="5">
        <v>0</v>
      </c>
      <c r="O41" s="5">
        <v>270463</v>
      </c>
      <c r="P41" s="5">
        <v>0</v>
      </c>
      <c r="Q41" s="6" t="str">
        <f t="shared" si="0"/>
        <v/>
      </c>
      <c r="R41" s="6">
        <f t="shared" si="1"/>
        <v>1.0648417021276595</v>
      </c>
      <c r="S41" s="7" t="str">
        <f t="shared" si="2"/>
        <v/>
      </c>
    </row>
    <row r="42" spans="1:19" x14ac:dyDescent="0.45">
      <c r="A42" t="s">
        <v>43</v>
      </c>
      <c r="B42" t="s">
        <v>63</v>
      </c>
      <c r="C42" t="s">
        <v>35</v>
      </c>
      <c r="D42">
        <v>2</v>
      </c>
      <c r="E42">
        <v>2021</v>
      </c>
      <c r="F42" s="5">
        <v>0</v>
      </c>
      <c r="G42" s="5">
        <v>0</v>
      </c>
      <c r="H42" s="5">
        <v>260278</v>
      </c>
      <c r="I42" s="5">
        <v>189220</v>
      </c>
      <c r="J42" s="5">
        <v>315325547162.09998</v>
      </c>
      <c r="K42" t="s">
        <v>37</v>
      </c>
      <c r="L42" s="5">
        <v>0</v>
      </c>
      <c r="M42" s="5">
        <v>100312</v>
      </c>
      <c r="N42" s="5">
        <v>88908</v>
      </c>
      <c r="O42" s="5">
        <v>0</v>
      </c>
      <c r="P42" s="5">
        <v>0</v>
      </c>
      <c r="Q42" s="6" t="str">
        <f t="shared" si="0"/>
        <v/>
      </c>
      <c r="R42" s="6">
        <f t="shared" si="1"/>
        <v>0.72699190865151875</v>
      </c>
      <c r="S42" s="7">
        <f t="shared" si="2"/>
        <v>6.0007824200405595E-7</v>
      </c>
    </row>
    <row r="43" spans="1:19" x14ac:dyDescent="0.45">
      <c r="A43" t="s">
        <v>43</v>
      </c>
      <c r="B43" t="s">
        <v>63</v>
      </c>
      <c r="C43" t="s">
        <v>35</v>
      </c>
      <c r="D43">
        <v>2</v>
      </c>
      <c r="E43">
        <v>2022</v>
      </c>
      <c r="F43" s="5">
        <v>0</v>
      </c>
      <c r="G43" s="5">
        <v>0</v>
      </c>
      <c r="H43" s="5">
        <v>296905</v>
      </c>
      <c r="I43" s="5">
        <v>201881</v>
      </c>
      <c r="J43" s="5">
        <v>301226575540.20001</v>
      </c>
      <c r="K43" t="s">
        <v>37</v>
      </c>
      <c r="L43" s="5">
        <v>0</v>
      </c>
      <c r="M43" s="5">
        <v>114606</v>
      </c>
      <c r="N43" s="5">
        <v>87275</v>
      </c>
      <c r="O43" s="5">
        <v>0</v>
      </c>
      <c r="P43" s="5">
        <v>0</v>
      </c>
      <c r="Q43" s="6">
        <f t="shared" si="0"/>
        <v>-4.4712430530254754E-2</v>
      </c>
      <c r="R43" s="6">
        <f t="shared" si="1"/>
        <v>0.67995149963793133</v>
      </c>
      <c r="S43" s="7">
        <f t="shared" si="2"/>
        <v>6.7019651117422102E-7</v>
      </c>
    </row>
    <row r="44" spans="1:19" x14ac:dyDescent="0.45">
      <c r="A44" t="s">
        <v>43</v>
      </c>
      <c r="B44" t="s">
        <v>63</v>
      </c>
      <c r="C44" t="s">
        <v>35</v>
      </c>
      <c r="D44">
        <v>2</v>
      </c>
      <c r="E44">
        <v>2023</v>
      </c>
      <c r="F44" s="5">
        <v>0</v>
      </c>
      <c r="G44" s="5">
        <v>0</v>
      </c>
      <c r="H44" s="5">
        <v>427182</v>
      </c>
      <c r="I44" s="5">
        <v>309446</v>
      </c>
      <c r="J44" s="5">
        <v>335518054097.59998</v>
      </c>
      <c r="K44" t="s">
        <v>37</v>
      </c>
      <c r="L44" s="5">
        <v>0</v>
      </c>
      <c r="M44" s="5">
        <v>115409</v>
      </c>
      <c r="N44" s="5">
        <v>194037</v>
      </c>
      <c r="O44" s="5">
        <v>0</v>
      </c>
      <c r="P44" s="5">
        <v>0</v>
      </c>
      <c r="Q44" s="6">
        <f t="shared" si="0"/>
        <v>0.11383948609415984</v>
      </c>
      <c r="R44" s="6">
        <f t="shared" si="1"/>
        <v>0.72438913624637746</v>
      </c>
      <c r="S44" s="7">
        <f t="shared" si="2"/>
        <v>9.2229314107187873E-7</v>
      </c>
    </row>
    <row r="45" spans="1:19" x14ac:dyDescent="0.45">
      <c r="A45" t="s">
        <v>43</v>
      </c>
      <c r="B45" t="s">
        <v>63</v>
      </c>
      <c r="C45" t="s">
        <v>35</v>
      </c>
      <c r="D45">
        <v>2</v>
      </c>
      <c r="E45">
        <v>2024</v>
      </c>
      <c r="F45" s="5">
        <v>0</v>
      </c>
      <c r="G45" s="5">
        <v>0</v>
      </c>
      <c r="H45" s="5">
        <v>277609</v>
      </c>
      <c r="I45" s="5">
        <v>282234</v>
      </c>
      <c r="J45" s="5">
        <v>330267137137.59998</v>
      </c>
      <c r="K45" t="s">
        <v>37</v>
      </c>
      <c r="L45" s="5">
        <v>0</v>
      </c>
      <c r="M45" s="5">
        <v>200000</v>
      </c>
      <c r="N45" s="5">
        <v>82234</v>
      </c>
      <c r="O45" s="5">
        <v>0</v>
      </c>
      <c r="P45" s="5">
        <v>0</v>
      </c>
      <c r="Q45" s="6">
        <f t="shared" si="0"/>
        <v>-1.5650177079509886E-2</v>
      </c>
      <c r="R45" s="6">
        <f t="shared" si="1"/>
        <v>1.0166601226905467</v>
      </c>
      <c r="S45" s="7">
        <f t="shared" si="2"/>
        <v>8.54562771355638E-7</v>
      </c>
    </row>
    <row r="46" spans="1:19" x14ac:dyDescent="0.45">
      <c r="A46" t="s">
        <v>43</v>
      </c>
      <c r="B46" t="s">
        <v>63</v>
      </c>
      <c r="C46" t="s">
        <v>35</v>
      </c>
      <c r="D46">
        <v>2</v>
      </c>
      <c r="E46">
        <v>2025</v>
      </c>
      <c r="F46" s="5">
        <v>0</v>
      </c>
      <c r="G46" s="5">
        <v>0</v>
      </c>
      <c r="H46" s="5">
        <v>174500</v>
      </c>
      <c r="I46" s="5">
        <v>4141</v>
      </c>
      <c r="J46" s="5"/>
      <c r="K46" t="s">
        <v>45</v>
      </c>
      <c r="L46" s="5">
        <v>0</v>
      </c>
      <c r="M46" s="5">
        <v>0</v>
      </c>
      <c r="N46" s="5">
        <v>4141</v>
      </c>
      <c r="O46" s="5">
        <v>0</v>
      </c>
      <c r="P46" s="5">
        <v>0</v>
      </c>
      <c r="Q46" s="6" t="str">
        <f t="shared" si="0"/>
        <v/>
      </c>
      <c r="R46" s="6">
        <f t="shared" si="1"/>
        <v>2.3730659025787967E-2</v>
      </c>
      <c r="S46" s="7" t="str">
        <f t="shared" si="2"/>
        <v/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showGridLines="0" workbookViewId="0"/>
  </sheetViews>
  <sheetFormatPr defaultRowHeight="14.25" x14ac:dyDescent="0.45"/>
  <cols>
    <col min="1" max="1" width="15" customWidth="1"/>
    <col min="2" max="2" width="18" customWidth="1"/>
    <col min="3" max="3" width="25" customWidth="1"/>
    <col min="4" max="4" width="23" customWidth="1"/>
    <col min="5" max="5" width="28" customWidth="1"/>
    <col min="6" max="6" width="16" customWidth="1"/>
    <col min="7" max="7" width="26" customWidth="1"/>
  </cols>
  <sheetData>
    <row r="1" spans="1:7" ht="24" customHeight="1" x14ac:dyDescent="0.45">
      <c r="A1" s="3" t="s">
        <v>19</v>
      </c>
      <c r="B1" s="3" t="s">
        <v>18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20</v>
      </c>
    </row>
    <row r="2" spans="1:7" x14ac:dyDescent="0.45">
      <c r="A2" t="s">
        <v>48</v>
      </c>
      <c r="B2" t="s">
        <v>47</v>
      </c>
      <c r="C2" s="5">
        <v>195875891</v>
      </c>
      <c r="D2" s="5">
        <v>112717952</v>
      </c>
      <c r="E2" s="4">
        <v>2</v>
      </c>
      <c r="F2" s="4">
        <v>1</v>
      </c>
      <c r="G2" t="s">
        <v>40</v>
      </c>
    </row>
    <row r="3" spans="1:7" x14ac:dyDescent="0.45">
      <c r="A3" t="s">
        <v>48</v>
      </c>
      <c r="B3" t="s">
        <v>50</v>
      </c>
      <c r="C3" s="5">
        <v>4054677</v>
      </c>
      <c r="D3" s="5">
        <v>3177434</v>
      </c>
      <c r="E3" s="4">
        <v>2</v>
      </c>
      <c r="F3" s="4">
        <v>2</v>
      </c>
      <c r="G3" t="s">
        <v>35</v>
      </c>
    </row>
    <row r="4" spans="1:7" x14ac:dyDescent="0.45">
      <c r="A4" t="s">
        <v>34</v>
      </c>
      <c r="B4" t="s">
        <v>39</v>
      </c>
      <c r="C4" s="5">
        <v>166519888</v>
      </c>
      <c r="D4" s="5">
        <v>200930143</v>
      </c>
      <c r="E4" s="4">
        <v>2</v>
      </c>
      <c r="F4" s="4">
        <v>1</v>
      </c>
      <c r="G4" t="s">
        <v>40</v>
      </c>
    </row>
    <row r="5" spans="1:7" x14ac:dyDescent="0.45">
      <c r="A5" t="s">
        <v>34</v>
      </c>
      <c r="B5" t="s">
        <v>33</v>
      </c>
      <c r="C5" s="5">
        <v>15758547</v>
      </c>
      <c r="D5" s="5">
        <v>13376531</v>
      </c>
      <c r="E5" s="4">
        <v>2</v>
      </c>
      <c r="F5" s="4">
        <v>2</v>
      </c>
      <c r="G5" t="s">
        <v>35</v>
      </c>
    </row>
    <row r="6" spans="1:7" x14ac:dyDescent="0.45">
      <c r="A6" t="s">
        <v>57</v>
      </c>
      <c r="B6" t="s">
        <v>59</v>
      </c>
      <c r="C6" s="5">
        <v>463771414</v>
      </c>
      <c r="D6" s="5">
        <v>569667678</v>
      </c>
      <c r="E6" s="4">
        <v>2</v>
      </c>
      <c r="F6" s="4">
        <v>1</v>
      </c>
      <c r="G6" t="s">
        <v>40</v>
      </c>
    </row>
    <row r="7" spans="1:7" x14ac:dyDescent="0.45">
      <c r="A7" t="s">
        <v>57</v>
      </c>
      <c r="B7" t="s">
        <v>56</v>
      </c>
      <c r="C7" s="5">
        <v>90138109</v>
      </c>
      <c r="D7" s="5">
        <v>119667327</v>
      </c>
      <c r="E7" s="4">
        <v>2</v>
      </c>
      <c r="F7" s="4">
        <v>2</v>
      </c>
      <c r="G7" t="s">
        <v>35</v>
      </c>
    </row>
    <row r="8" spans="1:7" x14ac:dyDescent="0.45">
      <c r="A8" t="s">
        <v>53</v>
      </c>
      <c r="B8" t="s">
        <v>52</v>
      </c>
      <c r="C8" s="5">
        <v>5597651</v>
      </c>
      <c r="D8" s="5">
        <v>7638726</v>
      </c>
      <c r="E8" s="4">
        <v>1</v>
      </c>
      <c r="F8" s="4">
        <v>1</v>
      </c>
      <c r="G8" t="s">
        <v>54</v>
      </c>
    </row>
    <row r="9" spans="1:7" x14ac:dyDescent="0.45">
      <c r="A9" t="s">
        <v>43</v>
      </c>
      <c r="B9" t="s">
        <v>42</v>
      </c>
      <c r="C9" s="5">
        <v>5045925</v>
      </c>
      <c r="D9" s="5">
        <v>5555478</v>
      </c>
      <c r="E9" s="4">
        <v>2</v>
      </c>
      <c r="F9" s="4">
        <v>1</v>
      </c>
      <c r="G9" t="s">
        <v>40</v>
      </c>
    </row>
    <row r="10" spans="1:7" x14ac:dyDescent="0.45">
      <c r="A10" t="s">
        <v>43</v>
      </c>
      <c r="B10" t="s">
        <v>63</v>
      </c>
      <c r="C10" s="5">
        <v>986922</v>
      </c>
      <c r="D10" s="5">
        <v>1436474</v>
      </c>
      <c r="E10" s="4">
        <v>2</v>
      </c>
      <c r="F10" s="4">
        <v>2</v>
      </c>
      <c r="G10" t="s">
        <v>35</v>
      </c>
    </row>
  </sheetData>
  <conditionalFormatting sqref="G2:G10">
    <cfRule type="cellIs" dxfId="2" priority="1" operator="equal">
      <formula>"Highest funded in sample"</formula>
    </cfRule>
    <cfRule type="cellIs" dxfId="1" priority="2" operator="equal">
      <formula>"Lowest funded in sample"</formula>
    </cfRule>
    <cfRule type="cellIs" dxfId="0" priority="3" operator="equal">
      <formula>"Only sample country"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workbookViewId="0"/>
  </sheetViews>
  <sheetFormatPr defaultRowHeight="14.25" x14ac:dyDescent="0.45"/>
  <cols>
    <col min="1" max="1" width="26" customWidth="1"/>
    <col min="2" max="2" width="36" customWidth="1"/>
    <col min="3" max="3" width="52" customWidth="1"/>
    <col min="4" max="4" width="22" customWidth="1"/>
  </cols>
  <sheetData>
    <row r="1" spans="1:4" ht="24" customHeight="1" x14ac:dyDescent="0.45">
      <c r="A1" s="3" t="s">
        <v>84</v>
      </c>
      <c r="B1" s="3" t="s">
        <v>85</v>
      </c>
      <c r="C1" s="3" t="s">
        <v>86</v>
      </c>
      <c r="D1" s="3" t="s">
        <v>87</v>
      </c>
    </row>
    <row r="2" spans="1:4" ht="42.75" x14ac:dyDescent="0.45">
      <c r="A2" s="2" t="s">
        <v>88</v>
      </c>
      <c r="B2" s="2" t="s">
        <v>89</v>
      </c>
      <c r="C2" s="2" t="s">
        <v>90</v>
      </c>
      <c r="D2" s="2" t="s">
        <v>91</v>
      </c>
    </row>
    <row r="3" spans="1:4" ht="28.5" x14ac:dyDescent="0.45">
      <c r="A3" s="2" t="s">
        <v>92</v>
      </c>
      <c r="B3" s="2" t="s">
        <v>93</v>
      </c>
      <c r="C3" s="2" t="s">
        <v>94</v>
      </c>
      <c r="D3" s="2" t="s">
        <v>95</v>
      </c>
    </row>
    <row r="4" spans="1:4" ht="28.5" x14ac:dyDescent="0.45">
      <c r="A4" s="2" t="s">
        <v>96</v>
      </c>
      <c r="B4" s="2" t="s">
        <v>97</v>
      </c>
      <c r="C4" s="2" t="s">
        <v>98</v>
      </c>
      <c r="D4" s="2" t="s">
        <v>99</v>
      </c>
    </row>
    <row r="5" spans="1:4" ht="28.5" x14ac:dyDescent="0.45">
      <c r="A5" s="2" t="s">
        <v>100</v>
      </c>
      <c r="B5" s="2" t="s">
        <v>101</v>
      </c>
      <c r="C5" s="2" t="s">
        <v>102</v>
      </c>
      <c r="D5" s="2" t="s">
        <v>103</v>
      </c>
    </row>
    <row r="6" spans="1:4" ht="28.5" x14ac:dyDescent="0.45">
      <c r="A6" s="2" t="s">
        <v>104</v>
      </c>
      <c r="B6" s="2" t="s">
        <v>105</v>
      </c>
      <c r="C6" s="2" t="s">
        <v>106</v>
      </c>
      <c r="D6" s="2" t="s">
        <v>107</v>
      </c>
    </row>
    <row r="7" spans="1:4" ht="28.5" x14ac:dyDescent="0.45">
      <c r="A7" s="2" t="s">
        <v>108</v>
      </c>
      <c r="B7" s="2" t="s">
        <v>109</v>
      </c>
      <c r="C7" s="2" t="s">
        <v>110</v>
      </c>
      <c r="D7" s="2" t="s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Cleaned_Transactions</vt:lpstr>
      <vt:lpstr>Model_Ready_Country_Year</vt:lpstr>
      <vt:lpstr>Country_Ranking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2026-04-30T11:46:37Z</dcterms:modified>
</cp:coreProperties>
</file>